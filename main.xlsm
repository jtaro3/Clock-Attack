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4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omments1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7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general" sheetId="1" state="visible" r:id="rId3"/>
    <sheet name="assets" sheetId="2" state="visible" r:id="rId4"/>
    <sheet name="enemy" sheetId="3" state="visible" r:id="rId5"/>
    <sheet name="player" sheetId="4" state="visible" r:id="rId6"/>
    <sheet name="round" sheetId="5" state="visible" r:id="rId7"/>
    <sheet name="round_spawn" sheetId="6" state="visible" r:id="rId8"/>
    <sheet name="difficulty" sheetId="7" state="visible" r:id="rId9"/>
    <sheet name="メモ" sheetId="8" state="visible" r:id="rId10"/>
  </sheets>
  <definedNames>
    <definedName function="false" hidden="true" localSheetId="1" name="_xlnm._FilterDatabase" vbProcedure="false">assets!$A$1:$H$24</definedName>
    <definedName function="false" hidden="true" localSheetId="0" name="_xlnm._FilterDatabase" vbProcedure="false">general!$A$1:$G$10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comments1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A10" authorId="0">
      <text>
        <r>
          <rPr>
            <sz val="10"/>
            <rFont val="Noto Sans JP"/>
            <family val="2"/>
          </rPr>
          <t xml:space="preserve">砂時計の砂量を</t>
        </r>
        <r>
          <rPr>
            <sz val="10"/>
            <rFont val="Arial"/>
            <family val="2"/>
            <charset val="1"/>
          </rPr>
          <t xml:space="preserve">100%</t>
        </r>
        <r>
          <rPr>
            <sz val="10"/>
            <rFont val="Noto Sans JP"/>
            <family val="2"/>
            <charset val="1"/>
          </rPr>
          <t xml:space="preserve">として表示する基準値。行動力と回復量の合計が</t>
        </r>
        <r>
          <rPr>
            <sz val="10"/>
            <rFont val="Arial"/>
            <family val="2"/>
            <charset val="1"/>
          </rPr>
          <t xml:space="preserve">1000</t>
        </r>
        <r>
          <rPr>
            <sz val="10"/>
            <rFont val="Noto Sans JP"/>
            <family val="2"/>
            <charset val="1"/>
          </rPr>
          <t xml:space="preserve">なら満量表示。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1</xdr:col>
                <xdr:colOff>1</xdr:colOff>
                <xdr:row>5</xdr:row>
                <xdr:rowOff>1</xdr:rowOff>
              </xdr:from>
              <xdr:to>
                <xdr:col>2</xdr:col>
                <xdr:colOff>3</xdr:colOff>
                <xdr:row>10</xdr:row>
                <xdr:rowOff>5</xdr:rowOff>
              </xdr:to>
            </anchor>
          </commentPr>
        </mc:Choice>
        <mc:Fallback/>
      </mc:AlternateContent>
    </comment>
    <comment ref="D2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1</xdr:rowOff>
              </xdr:from>
              <xdr:to>
                <xdr:col>5</xdr:col>
                <xdr:colOff>1</xdr:colOff>
                <xdr:row>3</xdr:row>
                <xdr:rowOff>5</xdr:rowOff>
              </xdr:to>
            </anchor>
          </commentPr>
        </mc:Choice>
        <mc:Fallback/>
      </mc:AlternateContent>
    </comment>
    <comment ref="D6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</xdr:row>
                <xdr:rowOff>1</xdr:rowOff>
              </xdr:from>
              <xdr:to>
                <xdr:col>5</xdr:col>
                <xdr:colOff>1</xdr:colOff>
                <xdr:row>4</xdr:row>
                <xdr:rowOff>5</xdr:rowOff>
              </xdr:to>
            </anchor>
          </commentPr>
        </mc:Choice>
        <mc:Fallback/>
      </mc:AlternateContent>
    </comment>
    <comment ref="D7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2</xdr:row>
                <xdr:rowOff>1</xdr:rowOff>
              </xdr:from>
              <xdr:to>
                <xdr:col>5</xdr:col>
                <xdr:colOff>1</xdr:colOff>
                <xdr:row>5</xdr:row>
                <xdr:rowOff>5</xdr:rowOff>
              </xdr:to>
            </anchor>
          </commentPr>
        </mc:Choice>
        <mc:Fallback/>
      </mc:AlternateContent>
    </comment>
    <comment ref="D8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3</xdr:row>
                <xdr:rowOff>1</xdr:rowOff>
              </xdr:from>
              <xdr:to>
                <xdr:col>5</xdr:col>
                <xdr:colOff>1</xdr:colOff>
                <xdr:row>6</xdr:row>
                <xdr:rowOff>5</xdr:rowOff>
              </xdr:to>
            </anchor>
          </commentPr>
        </mc:Choice>
        <mc:Fallback/>
      </mc:AlternateContent>
    </comment>
    <comment ref="D9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4</xdr:row>
                <xdr:rowOff>1</xdr:rowOff>
              </xdr:from>
              <xdr:to>
                <xdr:col>5</xdr:col>
                <xdr:colOff>1</xdr:colOff>
                <xdr:row>7</xdr:row>
                <xdr:rowOff>5</xdr:rowOff>
              </xdr:to>
            </anchor>
          </commentPr>
        </mc:Choice>
        <mc:Fallback/>
      </mc:AlternateContent>
    </comment>
    <comment ref="D10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5</xdr:row>
                <xdr:rowOff>1</xdr:rowOff>
              </xdr:from>
              <xdr:to>
                <xdr:col>5</xdr:col>
                <xdr:colOff>1</xdr:colOff>
                <xdr:row>8</xdr:row>
                <xdr:rowOff>5</xdr:rowOff>
              </xdr:to>
            </anchor>
          </commentPr>
        </mc:Choice>
        <mc:Fallback/>
      </mc:AlternateContent>
    </comment>
  </commentList>
</comments>
</file>

<file path=xl/comments4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D2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2</xdr:colOff>
                <xdr:row>3</xdr:row>
                <xdr:rowOff>2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2</xdr:colOff>
                <xdr:row>3</xdr:row>
                <xdr:rowOff>2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2</xdr:colOff>
                <xdr:row>3</xdr:row>
                <xdr:rowOff>2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2</xdr:colOff>
                <xdr:row>3</xdr:row>
                <xdr:rowOff>5</xdr:rowOff>
              </xdr:to>
            </anchor>
          </commentPr>
        </mc:Choice>
        <mc:Fallback/>
      </mc:AlternateContent>
    </comment>
    <comment ref="D1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8</xdr:row>
                <xdr:rowOff>1</xdr:rowOff>
              </xdr:from>
              <xdr:to>
                <xdr:col>6</xdr:col>
                <xdr:colOff>2</xdr:colOff>
                <xdr:row>11</xdr:row>
                <xdr:rowOff>5</xdr:rowOff>
              </xdr:to>
            </anchor>
          </commentPr>
        </mc:Choice>
        <mc:Fallback/>
      </mc:AlternateContent>
    </comment>
    <comment ref="D1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9</xdr:row>
                <xdr:rowOff>1</xdr:rowOff>
              </xdr:from>
              <xdr:to>
                <xdr:col>6</xdr:col>
                <xdr:colOff>2</xdr:colOff>
                <xdr:row>12</xdr:row>
                <xdr:rowOff>5</xdr:rowOff>
              </xdr:to>
            </anchor>
          </commentPr>
        </mc:Choice>
        <mc:Fallback/>
      </mc:AlternateContent>
    </comment>
    <comment ref="D15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10</xdr:row>
                <xdr:rowOff>1</xdr:rowOff>
              </xdr:from>
              <xdr:to>
                <xdr:col>6</xdr:col>
                <xdr:colOff>2</xdr:colOff>
                <xdr:row>13</xdr:row>
                <xdr:rowOff>5</xdr:rowOff>
              </xdr:to>
            </anchor>
          </commentPr>
        </mc:Choice>
        <mc:Fallback/>
      </mc:AlternateContent>
    </comment>
    <comment ref="D16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11</xdr:row>
                <xdr:rowOff>1</xdr:rowOff>
              </xdr:from>
              <xdr:to>
                <xdr:col>6</xdr:col>
                <xdr:colOff>2</xdr:colOff>
                <xdr:row>14</xdr:row>
                <xdr:rowOff>5</xdr:rowOff>
              </xdr:to>
            </anchor>
          </commentPr>
        </mc:Choice>
        <mc:Fallback/>
      </mc:AlternateContent>
    </comment>
  </commentList>
</comments>
</file>

<file path=xl/sharedStrings.xml><?xml version="1.0" encoding="utf-8"?>
<sst xmlns="http://schemas.openxmlformats.org/spreadsheetml/2006/main" count="359" uniqueCount="214">
  <si>
    <t xml:space="preserve">key</t>
  </si>
  <si>
    <t xml:space="preserve">description</t>
  </si>
  <si>
    <t xml:space="preserve">value</t>
  </si>
  <si>
    <t xml:space="preserve">type</t>
  </si>
  <si>
    <t xml:space="preserve">min</t>
  </si>
  <si>
    <t xml:space="preserve">max</t>
  </si>
  <si>
    <t xml:space="preserve">unit</t>
  </si>
  <si>
    <t xml:space="preserve">notes </t>
  </si>
  <si>
    <t xml:space="preserve">notes_spellcheck</t>
  </si>
  <si>
    <t xml:space="preserve">start_energy</t>
  </si>
  <si>
    <t xml:space="preserve">スタート時の行動力 </t>
  </si>
  <si>
    <t xml:space="preserve">integer</t>
  </si>
  <si>
    <t xml:space="preserve">point</t>
  </si>
  <si>
    <t xml:space="preserve">max_enemies</t>
  </si>
  <si>
    <t xml:space="preserve">同時に出現できる敵の最大数</t>
  </si>
  <si>
    <t xml:space="preserve">count</t>
  </si>
  <si>
    <t xml:space="preserve">max_particles</t>
  </si>
  <si>
    <t xml:space="preserve">パーティクル最大数</t>
  </si>
  <si>
    <t xml:space="preserve">idle_warning_seconds</t>
  </si>
  <si>
    <t xml:space="preserve">敵を倒してから警告が出るまでの秒数</t>
  </si>
  <si>
    <t xml:space="preserve">seconds</t>
  </si>
  <si>
    <t xml:space="preserve">game_over_countdown_seconds</t>
  </si>
  <si>
    <t xml:space="preserve">ゲームオーバーまでのカウントダウン秒数</t>
  </si>
  <si>
    <t xml:space="preserve">recovery_invincible_seconds</t>
  </si>
  <si>
    <t xml:space="preserve">行動力回復後の無敵時間</t>
  </si>
  <si>
    <t xml:space="preserve">number</t>
  </si>
  <si>
    <t xml:space="preserve">battle_start_delay_seconds</t>
  </si>
  <si>
    <t xml:space="preserve">バトル開始時の待機時間</t>
  </si>
  <si>
    <t xml:space="preserve">コレいらないかも</t>
  </si>
  <si>
    <t xml:space="preserve">max_hourglass_stock</t>
  </si>
  <si>
    <t xml:space="preserve">砂時計の最大ストック数</t>
  </si>
  <si>
    <t xml:space="preserve">max_sand_display</t>
  </si>
  <si>
    <t xml:space="preserve">砂量表示の最大値</t>
  </si>
  <si>
    <t xml:space="preserve">コレはいじらない</t>
  </si>
  <si>
    <t xml:space="preserve">enabled</t>
  </si>
  <si>
    <t xml:space="preserve">asset_key</t>
  </si>
  <si>
    <t xml:space="preserve">asset_type</t>
  </si>
  <si>
    <t xml:space="preserve">owner_key</t>
  </si>
  <si>
    <t xml:space="preserve">direction</t>
  </si>
  <si>
    <t xml:space="preserve">sprite_scale</t>
  </si>
  <si>
    <t xml:space="preserve">sprite_file</t>
  </si>
  <si>
    <t xml:space="preserve">notes</t>
  </si>
  <si>
    <t xml:space="preserve">notes2</t>
  </si>
  <si>
    <t xml:space="preserve">player_back</t>
  </si>
  <si>
    <t xml:space="preserve">player</t>
  </si>
  <si>
    <t xml:space="preserve">背面</t>
  </si>
  <si>
    <t xml:space="preserve">back</t>
  </si>
  <si>
    <t xml:space="preserve">man1.png</t>
  </si>
  <si>
    <t xml:space="preserve">player_back_right</t>
  </si>
  <si>
    <t xml:space="preserve">背面右向き</t>
  </si>
  <si>
    <t xml:space="preserve">back_right</t>
  </si>
  <si>
    <t xml:space="preserve">man2.png</t>
  </si>
  <si>
    <t xml:space="preserve">素材を識別する一意のキー</t>
  </si>
  <si>
    <t xml:space="preserve">player_right</t>
  </si>
  <si>
    <t xml:space="preserve">右向き</t>
  </si>
  <si>
    <t xml:space="preserve">right</t>
  </si>
  <si>
    <t xml:space="preserve">man3.png</t>
  </si>
  <si>
    <t xml:space="preserve">player、enemy、sword、effectなど</t>
  </si>
  <si>
    <t xml:space="preserve">player_front_right</t>
  </si>
  <si>
    <t xml:space="preserve">正面右向き</t>
  </si>
  <si>
    <t xml:space="preserve">front_right</t>
  </si>
  <si>
    <t xml:space="preserve">man4.png</t>
  </si>
  <si>
    <t xml:space="preserve">素材を使用する敵やプレイヤーのキー</t>
  </si>
  <si>
    <t xml:space="preserve">player_front</t>
  </si>
  <si>
    <t xml:space="preserve">正面</t>
  </si>
  <si>
    <t xml:space="preserve">front</t>
  </si>
  <si>
    <t xml:space="preserve">man5.png</t>
  </si>
  <si>
    <t xml:space="preserve">日本語の説明</t>
  </si>
  <si>
    <t xml:space="preserve">player_front_left</t>
  </si>
  <si>
    <t xml:space="preserve">正面左向き</t>
  </si>
  <si>
    <t xml:space="preserve">front_left</t>
  </si>
  <si>
    <t xml:space="preserve">man6.png</t>
  </si>
  <si>
    <t xml:space="preserve">プレイヤー画像の方向</t>
  </si>
  <si>
    <t xml:space="preserve">player_left</t>
  </si>
  <si>
    <t xml:space="preserve">左向き</t>
  </si>
  <si>
    <t xml:space="preserve">left</t>
  </si>
  <si>
    <t xml:space="preserve">man7.png</t>
  </si>
  <si>
    <t xml:space="preserve">player_back_left</t>
  </si>
  <si>
    <t xml:space="preserve">背面左向き</t>
  </si>
  <si>
    <t xml:space="preserve">back_left</t>
  </si>
  <si>
    <t xml:space="preserve">man8.png</t>
  </si>
  <si>
    <t xml:space="preserve">画像ファイル名</t>
  </si>
  <si>
    <t xml:space="preserve">メモ</t>
  </si>
  <si>
    <t xml:space="preserve">enemy_slime_blue</t>
  </si>
  <si>
    <t xml:space="preserve">enemy</t>
  </si>
  <si>
    <t xml:space="preserve">slime_blue</t>
  </si>
  <si>
    <t xml:space="preserve">青スライム</t>
  </si>
  <si>
    <t xml:space="preserve">slime_blue.png</t>
  </si>
  <si>
    <t xml:space="preserve">enemy_slime_green</t>
  </si>
  <si>
    <t xml:space="preserve">slime_green</t>
  </si>
  <si>
    <t xml:space="preserve">緑スライム</t>
  </si>
  <si>
    <t xml:space="preserve">slime_green.png</t>
  </si>
  <si>
    <t xml:space="preserve">enemy_slime_metal</t>
  </si>
  <si>
    <t xml:space="preserve">slime_metal</t>
  </si>
  <si>
    <t xml:space="preserve">金属スライム</t>
  </si>
  <si>
    <t xml:space="preserve">enemy_slime_red</t>
  </si>
  <si>
    <t xml:space="preserve">赤</t>
  </si>
  <si>
    <t xml:space="preserve">enemy_slime_purple</t>
  </si>
  <si>
    <t xml:space="preserve">紫</t>
  </si>
  <si>
    <t xml:space="preserve">enemy_slime_black </t>
  </si>
  <si>
    <t xml:space="preserve">黒</t>
  </si>
  <si>
    <t xml:space="preserve">enemy_dragon_red</t>
  </si>
  <si>
    <t xml:space="preserve">dragon_red</t>
  </si>
  <si>
    <t xml:space="preserve">炎竜</t>
  </si>
  <si>
    <t xml:space="preserve">enemy_golem_metal</t>
  </si>
  <si>
    <t xml:space="preserve">golem_metal</t>
  </si>
  <si>
    <t xml:space="preserve">ゴーレム</t>
  </si>
  <si>
    <t xml:space="preserve">sword_default</t>
  </si>
  <si>
    <t xml:space="preserve">sword</t>
  </si>
  <si>
    <t xml:space="preserve">剣1</t>
  </si>
  <si>
    <t xml:space="preserve">sword.svg</t>
  </si>
  <si>
    <t xml:space="preserve">sword_2</t>
  </si>
  <si>
    <t xml:space="preserve">剣2</t>
  </si>
  <si>
    <t xml:space="preserve">sword_3</t>
  </si>
  <si>
    <t xml:space="preserve">剣3</t>
  </si>
  <si>
    <t xml:space="preserve">effect_attack_hit</t>
  </si>
  <si>
    <t xml:space="preserve">effect</t>
  </si>
  <si>
    <t xml:space="preserve">common</t>
  </si>
  <si>
    <t xml:space="preserve">攻撃エフェクト</t>
  </si>
  <si>
    <t xml:space="preserve">effect_swing</t>
  </si>
  <si>
    <t xml:space="preserve">スイングエフェクト</t>
  </si>
  <si>
    <t xml:space="preserve">enemy_key</t>
  </si>
  <si>
    <t xml:space="preserve">family</t>
  </si>
  <si>
    <t xml:space="preserve">variant</t>
  </si>
  <si>
    <t xml:space="preserve">hp</t>
  </si>
  <si>
    <t xml:space="preserve">attack</t>
  </si>
  <si>
    <t xml:space="preserve">super_armor</t>
  </si>
  <si>
    <t xml:space="preserve">ai_type</t>
  </si>
  <si>
    <t xml:space="preserve">sand_type</t>
  </si>
  <si>
    <t xml:space="preserve">death_hit_stop_seconds</t>
  </si>
  <si>
    <t xml:space="preserve">slime</t>
  </si>
  <si>
    <t xml:space="preserve">blue</t>
  </si>
  <si>
    <t xml:space="preserve">chase</t>
  </si>
  <si>
    <t xml:space="preserve">green</t>
  </si>
  <si>
    <t xml:space="preserve">赤スライム</t>
  </si>
  <si>
    <t xml:space="preserve">red</t>
  </si>
  <si>
    <t xml:space="preserve">紫スライム</t>
  </si>
  <si>
    <t xml:space="preserve">purple</t>
  </si>
  <si>
    <t xml:space="preserve">黒スライム</t>
  </si>
  <si>
    <t xml:space="preserve">black</t>
  </si>
  <si>
    <t xml:space="preserve">metal</t>
  </si>
  <si>
    <t xml:space="preserve">white</t>
  </si>
  <si>
    <t xml:space="preserve">dragon</t>
  </si>
  <si>
    <t xml:space="preserve">golem</t>
  </si>
  <si>
    <t xml:space="preserve">sword_scale</t>
  </si>
  <si>
    <t xml:space="preserve">剣のサイズ</t>
  </si>
  <si>
    <t xml:space="preserve">scale</t>
  </si>
  <si>
    <t xml:space="preserve">player_scale</t>
  </si>
  <si>
    <t xml:space="preserve">プレイヤーのサイズ</t>
  </si>
  <si>
    <t xml:space="preserve">move_distance_per_energy</t>
  </si>
  <si>
    <t xml:space="preserve">移動時の行動力消費</t>
  </si>
  <si>
    <t xml:space="preserve">pixel_per_point</t>
  </si>
  <si>
    <t xml:space="preserve">指定した距離が大きいほど、減少量が減る</t>
  </si>
  <si>
    <t xml:space="preserve">base_attack_damage</t>
  </si>
  <si>
    <t xml:space="preserve">通常攻撃力</t>
  </si>
  <si>
    <t xml:space="preserve">damage</t>
  </si>
  <si>
    <t xml:space="preserve">white_aura_damage</t>
  </si>
  <si>
    <t xml:space="preserve">白オーラ攻撃力</t>
  </si>
  <si>
    <t xml:space="preserve">red_aura_damage</t>
  </si>
  <si>
    <t xml:space="preserve">赤オーラ攻撃力</t>
  </si>
  <si>
    <t xml:space="preserve">spin_sword_cost</t>
  </si>
  <si>
    <t xml:space="preserve">回転斬りの剣消費数</t>
  </si>
  <si>
    <t xml:space="preserve">spin_min_damage</t>
  </si>
  <si>
    <t xml:space="preserve">回転斬りの最低ダメージ</t>
  </si>
  <si>
    <t xml:space="preserve">max_sword_count</t>
  </si>
  <si>
    <t xml:space="preserve">剣カウント上限</t>
  </si>
  <si>
    <t xml:space="preserve">white_aura_interval</t>
  </si>
  <si>
    <t xml:space="preserve">白オーラ発動間隔</t>
  </si>
  <si>
    <t xml:space="preserve">red_aura_interval</t>
  </si>
  <si>
    <t xml:space="preserve">赤オーラ発動間隔</t>
  </si>
  <si>
    <t xml:space="preserve">spin_charge_seconds</t>
  </si>
  <si>
    <t xml:space="preserve">回転斬りの長押し時間</t>
  </si>
  <si>
    <t xml:space="preserve">normal_attack_effect_scale</t>
  </si>
  <si>
    <t xml:space="preserve">通常攻撃のエフェクト</t>
  </si>
  <si>
    <t xml:space="preserve">攻撃時にエネミー側に出すエフェクト</t>
  </si>
  <si>
    <t xml:space="preserve">white_attack_effect_scale</t>
  </si>
  <si>
    <t xml:space="preserve">白攻撃のエフェクト</t>
  </si>
  <si>
    <t xml:space="preserve">red_attack_effect_scale</t>
  </si>
  <si>
    <t xml:space="preserve">赤攻撃のエフェクト</t>
  </si>
  <si>
    <t xml:space="preserve">round</t>
  </si>
  <si>
    <t xml:space="preserve">kill_target</t>
  </si>
  <si>
    <t xml:space="preserve">enemy_hp_multiplier</t>
  </si>
  <si>
    <t xml:space="preserve">enemy_attack_multiplier</t>
  </si>
  <si>
    <t xml:space="preserve">enemy_speed_multiplier</t>
  </si>
  <si>
    <t xml:space="preserve">spawn_interval_seconds</t>
  </si>
  <si>
    <t xml:space="preserve">spawn_interval_seconds 　はエネミーの出現間隔</t>
  </si>
  <si>
    <t xml:space="preserve">spawn_weight</t>
  </si>
  <si>
    <t xml:space="preserve">max_alive</t>
  </si>
  <si>
    <t xml:space="preserve">max_per_round</t>
  </si>
  <si>
    <t xml:space="preserve">start_elapsed_seconds</t>
  </si>
  <si>
    <t xml:space="preserve">guaranteed_once</t>
  </si>
  <si>
    <t xml:space="preserve">notes_spellcheck_enemy</t>
  </si>
  <si>
    <t xml:space="preserve">notes3</t>
  </si>
  <si>
    <t xml:space="preserve">そのラウンドで出現できる総数。0は制限なし</t>
  </si>
  <si>
    <t xml:space="preserve">ラウンド開始から何秒後に出現候補へ入るか</t>
  </si>
  <si>
    <t xml:space="preserve">slime_red</t>
  </si>
  <si>
    <t xml:space="preserve">条件到達時に1体を確定出現させるか</t>
  </si>
  <si>
    <t xml:space="preserve">フィールドに同時存在できる上限。0は制限なし</t>
  </si>
  <si>
    <t xml:space="preserve">slime_purple</t>
  </si>
  <si>
    <t xml:space="preserve">slime_black</t>
  </si>
  <si>
    <t xml:space="preserve">ラウンド8の開始20秒後から炎竜が抽選対象に入り、同時に1体、そのラウンドで最大2体出現します </t>
  </si>
  <si>
    <t xml:space="preserve">difficulty_key</t>
  </si>
  <si>
    <t xml:space="preserve">max_round</t>
  </si>
  <si>
    <t xml:space="preserve">easy</t>
  </si>
  <si>
    <t xml:space="preserve">イージー</t>
  </si>
  <si>
    <t xml:space="preserve">normal</t>
  </si>
  <si>
    <t xml:space="preserve">ノーマル</t>
  </si>
  <si>
    <t xml:space="preserve">hard</t>
  </si>
  <si>
    <t xml:space="preserve">ハード</t>
  </si>
  <si>
    <t xml:space="preserve">1マスが何pxか</t>
  </si>
  <si>
    <t xml:space="preserve">攻撃のあたり判定の範囲　向いている方向3マス分？</t>
  </si>
  <si>
    <t xml:space="preserve">キャラの足踏み差分が必要？</t>
  </si>
  <si>
    <t xml:space="preserve">トレーニングモードで、現存するエネミーを全部指定できるようにする</t>
  </si>
  <si>
    <t xml:space="preserve">ラウンドごとのエネミー出現の設定を入れてない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</si>
</sst>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Noto Sans JP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JP"/>
      <family val="2"/>
    </font>
    <font>
      <sz val="10"/>
      <name val="Arial"/>
      <family val="2"/>
      <charset val="1"/>
    </font>
    <font>
      <b val="true"/>
      <sz val="12"/>
      <color rgb="FFFFFFFF"/>
      <name val="DejaVu Sans"/>
      <family val="0"/>
    </font>
    <font>
      <b val="true"/>
      <sz val="12"/>
      <color rgb="FFFFFFFF"/>
      <name val="Yu Gothic UI"/>
      <family val="0"/>
    </font>
    <font>
      <sz val="10"/>
      <name val="Noto Sans JP"/>
      <family val="3"/>
      <charset val="1"/>
    </font>
    <font>
      <sz val="10"/>
      <color rgb="FFFFFFFF"/>
      <name val="Noto Sans JP"/>
      <family val="2"/>
      <charset val="1"/>
    </font>
    <font>
      <b val="true"/>
      <sz val="10"/>
      <color rgb="FFFFFFFF"/>
      <name val="Noto Sans JP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FFBF00"/>
        <bgColor rgb="FFFFB66C"/>
      </patternFill>
    </fill>
    <fill>
      <patternFill patternType="solid">
        <fgColor rgb="FF1C1C1C"/>
        <bgColor rgb="FF333333"/>
      </patternFill>
    </fill>
    <fill>
      <patternFill patternType="solid">
        <fgColor rgb="FFD4EA6B"/>
        <bgColor rgb="FFFFDE59"/>
      </patternFill>
    </fill>
    <fill>
      <patternFill patternType="solid">
        <fgColor rgb="FFFF4000"/>
        <bgColor rgb="FFE16173"/>
      </patternFill>
    </fill>
    <fill>
      <patternFill patternType="solid">
        <fgColor rgb="FF2A6099"/>
        <bgColor rgb="FF3366FF"/>
      </patternFill>
    </fill>
    <fill>
      <patternFill patternType="solid">
        <fgColor rgb="FFEC9BA4"/>
        <bgColor rgb="FFFFB66C"/>
      </patternFill>
    </fill>
    <fill>
      <patternFill patternType="solid">
        <fgColor rgb="FF00A933"/>
        <bgColor rgb="FF008000"/>
      </patternFill>
    </fill>
    <fill>
      <patternFill patternType="solid">
        <fgColor rgb="FFB7B3CA"/>
        <bgColor rgb="FFB4C7DC"/>
      </patternFill>
    </fill>
    <fill>
      <patternFill patternType="solid">
        <fgColor rgb="FFBF0041"/>
        <bgColor rgb="FF800080"/>
      </patternFill>
    </fill>
    <fill>
      <patternFill patternType="solid">
        <fgColor rgb="FFFF0000"/>
        <bgColor rgb="FFBF0041"/>
      </patternFill>
    </fill>
    <fill>
      <patternFill patternType="solid">
        <fgColor rgb="FF808080"/>
        <bgColor rgb="FF666666"/>
      </patternFill>
    </fill>
    <fill>
      <patternFill patternType="solid">
        <fgColor rgb="FF666666"/>
        <bgColor rgb="FF808080"/>
      </patternFill>
    </fill>
    <fill>
      <patternFill patternType="solid">
        <fgColor rgb="FFFFFFA6"/>
        <bgColor rgb="FFF6F9D4"/>
      </patternFill>
    </fill>
    <fill>
      <patternFill patternType="solid">
        <fgColor rgb="FFB4C7DC"/>
        <bgColor rgb="FFB7B3CA"/>
      </patternFill>
    </fill>
    <fill>
      <patternFill patternType="solid">
        <fgColor rgb="FF55308D"/>
        <bgColor rgb="FF333333"/>
      </patternFill>
    </fill>
    <fill>
      <patternFill patternType="solid">
        <fgColor rgb="FFFFFF00"/>
        <bgColor rgb="FFFFDE59"/>
      </patternFill>
    </fill>
    <fill>
      <patternFill patternType="solid">
        <fgColor rgb="FFF6F9D4"/>
        <bgColor rgb="FFFFFFFF"/>
      </patternFill>
    </fill>
    <fill>
      <patternFill patternType="solid">
        <fgColor rgb="FF77BC65"/>
        <bgColor rgb="FF81ACA6"/>
      </patternFill>
    </fill>
    <fill>
      <patternFill patternType="solid">
        <fgColor rgb="FFFFB66C"/>
        <bgColor rgb="FFEC9BA4"/>
      </patternFill>
    </fill>
    <fill>
      <patternFill patternType="solid">
        <fgColor rgb="FF81D41A"/>
        <bgColor rgb="FF77BC65"/>
      </patternFill>
    </fill>
    <fill>
      <patternFill patternType="solid">
        <fgColor rgb="FF000000"/>
        <bgColor rgb="FF1C1C1C"/>
      </patternFill>
    </fill>
    <fill>
      <patternFill patternType="solid">
        <fgColor rgb="FF333333"/>
        <bgColor rgb="FF1C1C1C"/>
      </patternFill>
    </fill>
    <fill>
      <patternFill patternType="solid">
        <fgColor rgb="FFDDE8CB"/>
        <bgColor rgb="FFF6F9D4"/>
      </patternFill>
    </fill>
    <fill>
      <patternFill patternType="solid">
        <fgColor rgb="FF81ACA6"/>
        <bgColor rgb="FF77BC65"/>
      </patternFill>
    </fill>
    <fill>
      <patternFill patternType="solid">
        <fgColor rgb="FFE16173"/>
        <bgColor rgb="FFEC9BA4"/>
      </patternFill>
    </fill>
    <fill>
      <patternFill patternType="solid">
        <fgColor rgb="FFFFDE59"/>
        <bgColor rgb="FFD4EA6B"/>
      </patternFill>
    </fill>
    <fill>
      <patternFill patternType="solid">
        <fgColor rgb="FFFF8000"/>
        <bgColor rgb="FFE16173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1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2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8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4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4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5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5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6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7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0" fillId="28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1">
    <dxf>
      <fill>
        <patternFill patternType="solid">
          <fgColor rgb="FFBF0041"/>
          <bgColor rgb="FF000000"/>
        </patternFill>
      </fill>
    </dxf>
    <dxf>
      <fill>
        <patternFill patternType="solid">
          <fgColor rgb="FFFF4000"/>
          <bgColor rgb="FF000000"/>
        </patternFill>
      </fill>
    </dxf>
    <dxf>
      <fill>
        <patternFill patternType="solid">
          <fgColor rgb="FFFFB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A6099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EC9BA4"/>
          <bgColor rgb="FF000000"/>
        </patternFill>
      </fill>
    </dxf>
    <dxf>
      <fill>
        <patternFill patternType="solid">
          <fgColor rgb="FFB7B3CA"/>
          <bgColor rgb="FF000000"/>
        </patternFill>
      </fill>
    </dxf>
    <dxf>
      <fill>
        <patternFill patternType="solid">
          <fgColor rgb="FF1C1C1C"/>
          <bgColor rgb="FF000000"/>
        </patternFill>
      </fill>
    </dxf>
    <dxf>
      <fill>
        <patternFill patternType="solid">
          <fgColor rgb="FF666666"/>
          <bgColor rgb="FF000000"/>
        </patternFill>
      </fill>
    </dxf>
    <dxf>
      <fill>
        <patternFill patternType="solid">
          <fgColor rgb="FFFF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BF0041"/>
      <rgbColor rgb="FF008080"/>
      <rgbColor rgb="FFB7B3CA"/>
      <rgbColor rgb="FF808080"/>
      <rgbColor rgb="FF9999FF"/>
      <rgbColor rgb="FF993366"/>
      <rgbColor rgb="FFF6F9D4"/>
      <rgbColor rgb="FFD4EA6B"/>
      <rgbColor rgb="FF660066"/>
      <rgbColor rgb="FFE16173"/>
      <rgbColor rgb="FF2A6099"/>
      <rgbColor rgb="FFB4C7DC"/>
      <rgbColor rgb="FF000080"/>
      <rgbColor rgb="FFFF00FF"/>
      <rgbColor rgb="FFFFDE59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A6"/>
      <rgbColor rgb="FF99CCFF"/>
      <rgbColor rgb="FFEC9BA4"/>
      <rgbColor rgb="FFCC99FF"/>
      <rgbColor rgb="FFFFB66C"/>
      <rgbColor rgb="FF3366FF"/>
      <rgbColor rgb="FF77BC65"/>
      <rgbColor rgb="FF81D41A"/>
      <rgbColor rgb="FFFFBF00"/>
      <rgbColor rgb="FFFF8000"/>
      <rgbColor rgb="FFFF4000"/>
      <rgbColor rgb="FF666666"/>
      <rgbColor rgb="FF81ACA6"/>
      <rgbColor rgb="FF003366"/>
      <rgbColor rgb="FF00A933"/>
      <rgbColor rgb="FF003300"/>
      <rgbColor rgb="FF1C1C1C"/>
      <rgbColor rgb="FF993300"/>
      <rgbColor rgb="FF993366"/>
      <rgbColor rgb="FF55308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file:///C:/Users/hikar/AppData/Local/ClockAttackCsvExport/export-all-csv.cmd" TargetMode="Externa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10</xdr:col>
      <xdr:colOff>0</xdr:colOff>
      <xdr:row>1</xdr:row>
      <xdr:rowOff>0</xdr:rowOff>
    </xdr:from>
    <xdr:to>
      <xdr:col>12</xdr:col>
      <xdr:colOff>778680</xdr:colOff>
      <xdr:row>3</xdr:row>
      <xdr:rowOff>132840</xdr:rowOff>
    </xdr:to>
    <xdr:sp>
      <xdr:nvSpPr>
        <xdr:cNvPr id="1" name="btnExportAllCsv">
          <a:hlinkClick r:id="rId1"/>
        </xdr:cNvPr>
        <xdr:cNvSpPr/>
      </xdr:nvSpPr>
      <xdr:spPr>
        <a:xfrm>
          <a:off x="10623600" y="209520"/>
          <a:ext cx="2404080" cy="551880"/>
        </a:xfrm>
        <a:prstGeom prst="roundRect">
          <a:avLst>
            <a:gd name="adj" fmla="val 16667"/>
          </a:avLst>
        </a:prstGeom>
        <a:solidFill>
          <a:srgbClr val="81B543"/>
        </a:solidFill>
        <a:ln w="63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tIns="45000" rIns="90000" bIns="45000" anchor="t">
          <a:noAutofit/>
        </a:bodyPr>
        <a:p>
          <a:pPr>
            <a:lnSpc>
              <a:spcPct val="100000"/>
            </a:lnSpc>
          </a:pP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全シート</a:t>
          </a:r>
          <a:r>
            <a:rPr lang="en-US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CSV</a:t>
          </a: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出力</a:t>
          </a:r>
          <a:endParaRPr lang="en-US" sz="1200" b="0" u="none" strike="noStrike">
            <a:effectLst/>
            <a:uFillTx/>
            <a:latin typeface="Noto Serif JP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4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K41" activeCellId="0" sqref="K41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9.38"/>
    <col collapsed="false" customWidth="true" hidden="false" outlineLevel="0" max="2" min="2" style="1" width="36.15"/>
    <col collapsed="false" customWidth="true" hidden="false" outlineLevel="0" max="3" min="3" style="1" width="8.69"/>
    <col collapsed="false" customWidth="true" hidden="false" outlineLevel="0" max="4" min="4" style="1" width="8.07"/>
    <col collapsed="false" customWidth="true" hidden="false" outlineLevel="0" max="6" min="6" style="1" width="6.53"/>
    <col collapsed="false" customWidth="true" hidden="false" outlineLevel="0" max="8" min="8" style="1" width="15.77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4" t="s">
        <v>8</v>
      </c>
    </row>
    <row r="2" customFormat="false" ht="16.5" hidden="false" customHeight="false" outlineLevel="0" collapsed="false">
      <c r="A2" s="5" t="s">
        <v>9</v>
      </c>
      <c r="B2" s="6" t="s">
        <v>10</v>
      </c>
      <c r="C2" s="7" t="n">
        <v>100</v>
      </c>
      <c r="D2" s="8" t="s">
        <v>11</v>
      </c>
      <c r="E2" s="7" t="n">
        <v>1</v>
      </c>
      <c r="F2" s="7" t="n">
        <v>100</v>
      </c>
      <c r="G2" s="9" t="s">
        <v>12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5" t="s">
        <v>13</v>
      </c>
      <c r="B3" s="10" t="s">
        <v>14</v>
      </c>
      <c r="C3" s="7" t="n">
        <v>20</v>
      </c>
      <c r="D3" s="8" t="s">
        <v>11</v>
      </c>
      <c r="E3" s="7" t="n">
        <v>1</v>
      </c>
      <c r="F3" s="7" t="n">
        <v>20</v>
      </c>
      <c r="G3" s="11" t="s">
        <v>15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5" t="s">
        <v>16</v>
      </c>
      <c r="B4" s="10" t="s">
        <v>17</v>
      </c>
      <c r="C4" s="7" t="n">
        <v>200</v>
      </c>
      <c r="D4" s="8" t="s">
        <v>11</v>
      </c>
      <c r="E4" s="7" t="n">
        <v>0</v>
      </c>
      <c r="F4" s="7" t="n">
        <v>300</v>
      </c>
      <c r="G4" s="11" t="s">
        <v>15</v>
      </c>
      <c r="H4" s="3"/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5" t="s">
        <v>18</v>
      </c>
      <c r="B5" s="10" t="s">
        <v>19</v>
      </c>
      <c r="C5" s="7" t="n">
        <v>30</v>
      </c>
      <c r="D5" s="8" t="s">
        <v>11</v>
      </c>
      <c r="E5" s="7" t="n">
        <v>1</v>
      </c>
      <c r="F5" s="7" t="n">
        <v>30</v>
      </c>
      <c r="G5" s="7" t="s">
        <v>20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5" t="s">
        <v>21</v>
      </c>
      <c r="B6" s="10" t="s">
        <v>22</v>
      </c>
      <c r="C6" s="7" t="n">
        <v>5</v>
      </c>
      <c r="D6" s="8" t="s">
        <v>11</v>
      </c>
      <c r="E6" s="7" t="n">
        <v>1</v>
      </c>
      <c r="F6" s="7" t="n">
        <v>60</v>
      </c>
      <c r="G6" s="7" t="s">
        <v>20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5" t="s">
        <v>23</v>
      </c>
      <c r="B7" s="10" t="s">
        <v>24</v>
      </c>
      <c r="C7" s="7" t="n">
        <v>1</v>
      </c>
      <c r="D7" s="9" t="s">
        <v>25</v>
      </c>
      <c r="E7" s="7" t="n">
        <v>0</v>
      </c>
      <c r="F7" s="7" t="n">
        <v>10</v>
      </c>
      <c r="G7" s="7" t="s">
        <v>20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5" t="s">
        <v>26</v>
      </c>
      <c r="B8" s="10" t="s">
        <v>27</v>
      </c>
      <c r="C8" s="7" t="n">
        <v>3</v>
      </c>
      <c r="D8" s="9" t="s">
        <v>25</v>
      </c>
      <c r="E8" s="7" t="n">
        <v>0</v>
      </c>
      <c r="F8" s="7" t="n">
        <v>10</v>
      </c>
      <c r="G8" s="7" t="s">
        <v>20</v>
      </c>
      <c r="H8" s="3" t="s">
        <v>28</v>
      </c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5" t="s">
        <v>29</v>
      </c>
      <c r="B9" s="10" t="s">
        <v>30</v>
      </c>
      <c r="C9" s="7" t="n">
        <v>10</v>
      </c>
      <c r="D9" s="8" t="s">
        <v>11</v>
      </c>
      <c r="E9" s="7" t="n">
        <v>1</v>
      </c>
      <c r="F9" s="7" t="n">
        <v>10</v>
      </c>
      <c r="G9" s="11" t="s">
        <v>15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12" t="s">
        <v>31</v>
      </c>
      <c r="B10" s="10" t="s">
        <v>32</v>
      </c>
      <c r="C10" s="7" t="n">
        <v>1000</v>
      </c>
      <c r="D10" s="8" t="s">
        <v>11</v>
      </c>
      <c r="E10" s="7" t="n">
        <v>1</v>
      </c>
      <c r="F10" s="7" t="n">
        <v>10000</v>
      </c>
      <c r="G10" s="9" t="s">
        <v>12</v>
      </c>
      <c r="H10" s="3" t="s">
        <v>33</v>
      </c>
      <c r="I10" s="4" t="n">
        <f aca="false">IF( COUNTIF(A10, "* *")=0, COUNTIF(A10, "*　*"),1)</f>
        <v>0</v>
      </c>
    </row>
    <row r="44" customFormat="false" ht="16.5" hidden="false" customHeight="false" outlineLevel="0" collapsed="false">
      <c r="K44" s="1"/>
    </row>
  </sheetData>
  <autoFilter ref="A1:G10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4"/>
  <sheetViews>
    <sheetView showFormulas="false" showGridLines="true" showRowColHeaders="true" showZeros="true" rightToLeft="false" tabSelected="false" showOutlineSymbols="true" defaultGridColor="true" view="normal" topLeftCell="C1" colorId="64" zoomScale="80" zoomScaleNormal="80" zoomScalePageLayoutView="100" workbookViewId="0">
      <selection pane="topLeft" activeCell="J12" activeCellId="0" sqref="J12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53"/>
    <col collapsed="false" customWidth="true" hidden="false" outlineLevel="0" max="2" min="2" style="1" width="19.85"/>
    <col collapsed="false" customWidth="true" hidden="false" outlineLevel="0" max="3" min="3" style="1" width="19.77"/>
    <col collapsed="false" customWidth="true" hidden="false" outlineLevel="0" max="4" min="4" style="1" width="21.84"/>
    <col collapsed="false" customWidth="true" hidden="false" outlineLevel="0" max="5" min="5" style="1" width="17.07"/>
    <col collapsed="false" customWidth="true" hidden="false" outlineLevel="0" max="7" min="7" style="1" width="14.07"/>
    <col collapsed="false" customWidth="true" hidden="false" outlineLevel="0" max="8" min="8" style="1" width="18.23"/>
    <col collapsed="false" customWidth="true" hidden="false" outlineLevel="0" max="10" min="10" style="1" width="33.46"/>
  </cols>
  <sheetData>
    <row r="1" customFormat="false" ht="16.5" hidden="false" customHeight="false" outlineLevel="0" collapsed="false">
      <c r="A1" s="13" t="s">
        <v>34</v>
      </c>
      <c r="B1" s="14" t="s">
        <v>35</v>
      </c>
      <c r="C1" s="14" t="s">
        <v>36</v>
      </c>
      <c r="D1" s="14" t="s">
        <v>37</v>
      </c>
      <c r="E1" s="14" t="s">
        <v>1</v>
      </c>
      <c r="F1" s="14" t="s">
        <v>38</v>
      </c>
      <c r="G1" s="15" t="s">
        <v>39</v>
      </c>
      <c r="H1" s="15" t="s">
        <v>40</v>
      </c>
      <c r="I1" s="16" t="s">
        <v>41</v>
      </c>
      <c r="J1" s="16" t="s">
        <v>42</v>
      </c>
      <c r="K1" s="17"/>
      <c r="L1" s="17"/>
      <c r="M1" s="17"/>
      <c r="N1" s="17"/>
      <c r="O1" s="17"/>
    </row>
    <row r="2" customFormat="false" ht="16.5" hidden="false" customHeight="false" outlineLevel="0" collapsed="false">
      <c r="A2" s="18" t="n">
        <v>1</v>
      </c>
      <c r="B2" s="19" t="s">
        <v>43</v>
      </c>
      <c r="C2" s="19" t="s">
        <v>44</v>
      </c>
      <c r="D2" s="19" t="s">
        <v>44</v>
      </c>
      <c r="E2" s="19" t="s">
        <v>45</v>
      </c>
      <c r="F2" s="19" t="s">
        <v>46</v>
      </c>
      <c r="G2" s="19" t="n">
        <v>1</v>
      </c>
      <c r="H2" s="19" t="s">
        <v>47</v>
      </c>
      <c r="I2" s="20"/>
      <c r="J2" s="20"/>
    </row>
    <row r="3" customFormat="false" ht="16.5" hidden="false" customHeight="false" outlineLevel="0" collapsed="false">
      <c r="A3" s="18" t="n">
        <v>1</v>
      </c>
      <c r="B3" s="19" t="s">
        <v>48</v>
      </c>
      <c r="C3" s="19" t="s">
        <v>44</v>
      </c>
      <c r="D3" s="19" t="s">
        <v>44</v>
      </c>
      <c r="E3" s="19" t="s">
        <v>49</v>
      </c>
      <c r="F3" s="19" t="s">
        <v>50</v>
      </c>
      <c r="G3" s="19" t="n">
        <v>1</v>
      </c>
      <c r="H3" s="19" t="s">
        <v>51</v>
      </c>
      <c r="I3" s="20" t="s">
        <v>35</v>
      </c>
      <c r="J3" s="20" t="s">
        <v>52</v>
      </c>
    </row>
    <row r="4" customFormat="false" ht="16.5" hidden="false" customHeight="false" outlineLevel="0" collapsed="false">
      <c r="A4" s="18" t="n">
        <v>1</v>
      </c>
      <c r="B4" s="19" t="s">
        <v>53</v>
      </c>
      <c r="C4" s="19" t="s">
        <v>44</v>
      </c>
      <c r="D4" s="19" t="s">
        <v>44</v>
      </c>
      <c r="E4" s="19" t="s">
        <v>54</v>
      </c>
      <c r="F4" s="19" t="s">
        <v>55</v>
      </c>
      <c r="G4" s="19" t="n">
        <v>1</v>
      </c>
      <c r="H4" s="19" t="s">
        <v>56</v>
      </c>
      <c r="I4" s="20" t="s">
        <v>36</v>
      </c>
      <c r="J4" s="20" t="s">
        <v>57</v>
      </c>
    </row>
    <row r="5" customFormat="false" ht="16.5" hidden="false" customHeight="false" outlineLevel="0" collapsed="false">
      <c r="A5" s="18" t="n">
        <v>1</v>
      </c>
      <c r="B5" s="19" t="s">
        <v>58</v>
      </c>
      <c r="C5" s="19" t="s">
        <v>44</v>
      </c>
      <c r="D5" s="19" t="s">
        <v>44</v>
      </c>
      <c r="E5" s="19" t="s">
        <v>59</v>
      </c>
      <c r="F5" s="19" t="s">
        <v>60</v>
      </c>
      <c r="G5" s="19" t="n">
        <v>1</v>
      </c>
      <c r="H5" s="19" t="s">
        <v>61</v>
      </c>
      <c r="I5" s="20" t="s">
        <v>37</v>
      </c>
      <c r="J5" s="20" t="s">
        <v>62</v>
      </c>
    </row>
    <row r="6" customFormat="false" ht="16.5" hidden="false" customHeight="false" outlineLevel="0" collapsed="false">
      <c r="A6" s="18" t="n">
        <v>1</v>
      </c>
      <c r="B6" s="19" t="s">
        <v>63</v>
      </c>
      <c r="C6" s="19" t="s">
        <v>44</v>
      </c>
      <c r="D6" s="19" t="s">
        <v>44</v>
      </c>
      <c r="E6" s="19" t="s">
        <v>64</v>
      </c>
      <c r="F6" s="19" t="s">
        <v>65</v>
      </c>
      <c r="G6" s="19" t="n">
        <v>1</v>
      </c>
      <c r="H6" s="19" t="s">
        <v>66</v>
      </c>
      <c r="I6" s="20" t="s">
        <v>1</v>
      </c>
      <c r="J6" s="20" t="s">
        <v>67</v>
      </c>
    </row>
    <row r="7" customFormat="false" ht="16.5" hidden="false" customHeight="false" outlineLevel="0" collapsed="false">
      <c r="A7" s="18" t="n">
        <v>1</v>
      </c>
      <c r="B7" s="19" t="s">
        <v>68</v>
      </c>
      <c r="C7" s="19" t="s">
        <v>44</v>
      </c>
      <c r="D7" s="19" t="s">
        <v>44</v>
      </c>
      <c r="E7" s="19" t="s">
        <v>69</v>
      </c>
      <c r="F7" s="19" t="s">
        <v>70</v>
      </c>
      <c r="G7" s="19" t="n">
        <v>1</v>
      </c>
      <c r="H7" s="19" t="s">
        <v>71</v>
      </c>
      <c r="I7" s="20" t="s">
        <v>38</v>
      </c>
      <c r="J7" s="20" t="s">
        <v>72</v>
      </c>
    </row>
    <row r="8" customFormat="false" ht="16.5" hidden="false" customHeight="false" outlineLevel="0" collapsed="false">
      <c r="A8" s="18" t="n">
        <v>1</v>
      </c>
      <c r="B8" s="19" t="s">
        <v>73</v>
      </c>
      <c r="C8" s="19" t="s">
        <v>44</v>
      </c>
      <c r="D8" s="19" t="s">
        <v>44</v>
      </c>
      <c r="E8" s="19" t="s">
        <v>74</v>
      </c>
      <c r="F8" s="19" t="s">
        <v>75</v>
      </c>
      <c r="G8" s="19" t="n">
        <v>1</v>
      </c>
      <c r="H8" s="19" t="s">
        <v>76</v>
      </c>
      <c r="I8" s="20"/>
      <c r="J8" s="20"/>
    </row>
    <row r="9" customFormat="false" ht="16.5" hidden="false" customHeight="false" outlineLevel="0" collapsed="false">
      <c r="A9" s="18" t="n">
        <v>1</v>
      </c>
      <c r="B9" s="19" t="s">
        <v>77</v>
      </c>
      <c r="C9" s="19" t="s">
        <v>44</v>
      </c>
      <c r="D9" s="19" t="s">
        <v>44</v>
      </c>
      <c r="E9" s="19" t="s">
        <v>78</v>
      </c>
      <c r="F9" s="19" t="s">
        <v>79</v>
      </c>
      <c r="G9" s="19" t="n">
        <v>1</v>
      </c>
      <c r="H9" s="19" t="s">
        <v>80</v>
      </c>
      <c r="I9" s="20" t="s">
        <v>40</v>
      </c>
      <c r="J9" s="20" t="s">
        <v>81</v>
      </c>
    </row>
    <row r="10" customFormat="false" ht="16.5" hidden="false" customHeight="false" outlineLevel="0" collapsed="false">
      <c r="A10" s="21"/>
      <c r="B10" s="21"/>
      <c r="C10" s="21"/>
      <c r="D10" s="21"/>
      <c r="E10" s="21"/>
      <c r="F10" s="21"/>
      <c r="G10" s="21"/>
      <c r="H10" s="21"/>
      <c r="I10" s="20" t="s">
        <v>41</v>
      </c>
      <c r="J10" s="20" t="s">
        <v>82</v>
      </c>
    </row>
    <row r="11" customFormat="false" ht="16.5" hidden="false" customHeight="false" outlineLevel="0" collapsed="false">
      <c r="A11" s="22" t="n">
        <v>0</v>
      </c>
      <c r="B11" s="19" t="s">
        <v>83</v>
      </c>
      <c r="C11" s="19" t="s">
        <v>84</v>
      </c>
      <c r="D11" s="19" t="s">
        <v>85</v>
      </c>
      <c r="E11" s="19" t="s">
        <v>86</v>
      </c>
      <c r="F11" s="23"/>
      <c r="G11" s="23" t="n">
        <v>1</v>
      </c>
      <c r="H11" s="23" t="s">
        <v>87</v>
      </c>
      <c r="I11" s="24"/>
      <c r="J11" s="24"/>
    </row>
    <row r="12" customFormat="false" ht="16.5" hidden="false" customHeight="false" outlineLevel="0" collapsed="false">
      <c r="A12" s="22" t="n">
        <v>0</v>
      </c>
      <c r="B12" s="19" t="s">
        <v>88</v>
      </c>
      <c r="C12" s="19" t="s">
        <v>84</v>
      </c>
      <c r="D12" s="19" t="s">
        <v>89</v>
      </c>
      <c r="E12" s="19" t="s">
        <v>90</v>
      </c>
      <c r="F12" s="23"/>
      <c r="G12" s="23" t="n">
        <v>1.5</v>
      </c>
      <c r="H12" s="19" t="s">
        <v>91</v>
      </c>
      <c r="I12" s="24"/>
      <c r="J12" s="24"/>
    </row>
    <row r="13" customFormat="false" ht="16.5" hidden="false" customHeight="false" outlineLevel="0" collapsed="false">
      <c r="A13" s="22" t="n">
        <v>0</v>
      </c>
      <c r="B13" s="19" t="s">
        <v>92</v>
      </c>
      <c r="C13" s="19" t="s">
        <v>84</v>
      </c>
      <c r="D13" s="19" t="s">
        <v>93</v>
      </c>
      <c r="E13" s="19" t="s">
        <v>94</v>
      </c>
      <c r="F13" s="23"/>
      <c r="G13" s="23"/>
      <c r="H13" s="23"/>
      <c r="I13" s="24"/>
      <c r="J13" s="24"/>
    </row>
    <row r="14" customFormat="false" ht="16.5" hidden="false" customHeight="false" outlineLevel="0" collapsed="false">
      <c r="A14" s="22" t="n">
        <v>0</v>
      </c>
      <c r="B14" s="25" t="s">
        <v>95</v>
      </c>
      <c r="C14" s="19" t="s">
        <v>84</v>
      </c>
      <c r="D14" s="19"/>
      <c r="E14" s="19" t="s">
        <v>96</v>
      </c>
      <c r="F14" s="23"/>
      <c r="G14" s="23"/>
      <c r="H14" s="23"/>
      <c r="I14" s="24"/>
      <c r="J14" s="24"/>
    </row>
    <row r="15" customFormat="false" ht="16.5" hidden="false" customHeight="false" outlineLevel="0" collapsed="false">
      <c r="A15" s="22" t="n">
        <v>0</v>
      </c>
      <c r="B15" s="25" t="s">
        <v>97</v>
      </c>
      <c r="C15" s="19" t="s">
        <v>84</v>
      </c>
      <c r="D15" s="19"/>
      <c r="E15" s="19" t="s">
        <v>98</v>
      </c>
      <c r="F15" s="23"/>
      <c r="G15" s="23"/>
      <c r="H15" s="23"/>
      <c r="I15" s="24"/>
      <c r="J15" s="24"/>
    </row>
    <row r="16" customFormat="false" ht="16.5" hidden="false" customHeight="false" outlineLevel="0" collapsed="false">
      <c r="A16" s="22" t="n">
        <v>0</v>
      </c>
      <c r="B16" s="25" t="s">
        <v>99</v>
      </c>
      <c r="C16" s="19" t="s">
        <v>84</v>
      </c>
      <c r="D16" s="19"/>
      <c r="E16" s="19" t="s">
        <v>100</v>
      </c>
      <c r="F16" s="23"/>
      <c r="G16" s="23"/>
      <c r="H16" s="23"/>
      <c r="I16" s="24"/>
      <c r="J16" s="24"/>
    </row>
    <row r="17" customFormat="false" ht="16.5" hidden="false" customHeight="false" outlineLevel="0" collapsed="false">
      <c r="A17" s="22" t="n">
        <v>0</v>
      </c>
      <c r="B17" s="19" t="s">
        <v>101</v>
      </c>
      <c r="C17" s="19" t="s">
        <v>84</v>
      </c>
      <c r="D17" s="19" t="s">
        <v>102</v>
      </c>
      <c r="E17" s="19" t="s">
        <v>103</v>
      </c>
      <c r="F17" s="23"/>
      <c r="G17" s="23"/>
      <c r="H17" s="23"/>
      <c r="I17" s="24"/>
      <c r="J17" s="24"/>
    </row>
    <row r="18" customFormat="false" ht="16.5" hidden="false" customHeight="false" outlineLevel="0" collapsed="false">
      <c r="A18" s="22" t="n">
        <v>0</v>
      </c>
      <c r="B18" s="19" t="s">
        <v>104</v>
      </c>
      <c r="C18" s="19" t="s">
        <v>84</v>
      </c>
      <c r="D18" s="19" t="s">
        <v>105</v>
      </c>
      <c r="E18" s="19" t="s">
        <v>106</v>
      </c>
      <c r="F18" s="23"/>
      <c r="G18" s="23"/>
      <c r="H18" s="23"/>
      <c r="I18" s="24"/>
      <c r="J18" s="24"/>
    </row>
    <row r="19" customFormat="false" ht="16.5" hidden="false" customHeight="false" outlineLevel="0" collapsed="false">
      <c r="A19" s="21"/>
      <c r="B19" s="21"/>
      <c r="C19" s="21"/>
      <c r="D19" s="21"/>
      <c r="E19" s="21"/>
      <c r="F19" s="21"/>
      <c r="G19" s="21"/>
      <c r="H19" s="21"/>
      <c r="I19" s="24"/>
      <c r="J19" s="24"/>
    </row>
    <row r="20" customFormat="false" ht="16.5" hidden="false" customHeight="false" outlineLevel="0" collapsed="false">
      <c r="A20" s="18" t="n">
        <v>1</v>
      </c>
      <c r="B20" s="19" t="s">
        <v>107</v>
      </c>
      <c r="C20" s="19" t="s">
        <v>108</v>
      </c>
      <c r="D20" s="25" t="s">
        <v>44</v>
      </c>
      <c r="E20" s="19" t="s">
        <v>109</v>
      </c>
      <c r="F20" s="23"/>
      <c r="G20" s="19" t="n">
        <v>1</v>
      </c>
      <c r="H20" s="19" t="s">
        <v>110</v>
      </c>
      <c r="I20" s="24"/>
      <c r="J20" s="24"/>
    </row>
    <row r="21" customFormat="false" ht="16.5" hidden="false" customHeight="false" outlineLevel="0" collapsed="false">
      <c r="A21" s="22" t="n">
        <v>0</v>
      </c>
      <c r="B21" s="19" t="s">
        <v>111</v>
      </c>
      <c r="C21" s="19" t="s">
        <v>108</v>
      </c>
      <c r="D21" s="25" t="s">
        <v>44</v>
      </c>
      <c r="E21" s="19" t="s">
        <v>112</v>
      </c>
      <c r="F21" s="23"/>
      <c r="G21" s="23"/>
      <c r="H21" s="23"/>
      <c r="I21" s="24"/>
      <c r="J21" s="24"/>
    </row>
    <row r="22" customFormat="false" ht="16.5" hidden="false" customHeight="false" outlineLevel="0" collapsed="false">
      <c r="A22" s="22" t="n">
        <v>0</v>
      </c>
      <c r="B22" s="19" t="s">
        <v>113</v>
      </c>
      <c r="C22" s="19" t="s">
        <v>108</v>
      </c>
      <c r="D22" s="25" t="s">
        <v>44</v>
      </c>
      <c r="E22" s="19" t="s">
        <v>114</v>
      </c>
      <c r="F22" s="23"/>
      <c r="G22" s="23"/>
      <c r="H22" s="23"/>
      <c r="I22" s="24"/>
      <c r="J22" s="24"/>
    </row>
    <row r="23" customFormat="false" ht="16.5" hidden="false" customHeight="false" outlineLevel="0" collapsed="false">
      <c r="A23" s="22" t="n">
        <v>0</v>
      </c>
      <c r="B23" s="19" t="s">
        <v>115</v>
      </c>
      <c r="C23" s="19" t="s">
        <v>116</v>
      </c>
      <c r="D23" s="26" t="s">
        <v>117</v>
      </c>
      <c r="E23" s="19" t="s">
        <v>118</v>
      </c>
      <c r="F23" s="23"/>
      <c r="G23" s="23"/>
      <c r="H23" s="23"/>
      <c r="I23" s="24"/>
      <c r="J23" s="24"/>
    </row>
    <row r="24" customFormat="false" ht="16.5" hidden="false" customHeight="false" outlineLevel="0" collapsed="false">
      <c r="A24" s="22" t="n">
        <v>0</v>
      </c>
      <c r="B24" s="19" t="s">
        <v>119</v>
      </c>
      <c r="C24" s="19" t="s">
        <v>116</v>
      </c>
      <c r="D24" s="26" t="s">
        <v>117</v>
      </c>
      <c r="E24" s="19" t="s">
        <v>120</v>
      </c>
      <c r="F24" s="23"/>
      <c r="G24" s="23"/>
      <c r="H24" s="23"/>
      <c r="I24" s="24"/>
      <c r="J24" s="24"/>
    </row>
  </sheetData>
  <autoFilter ref="A1:H2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9" activeCellId="0" sqref="D9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3.15"/>
    <col collapsed="false" customWidth="true" hidden="false" outlineLevel="0" max="2" min="2" style="1" width="12.38"/>
    <col collapsed="false" customWidth="true" hidden="false" outlineLevel="0" max="6" min="6" style="1" width="4.46"/>
    <col collapsed="false" customWidth="true" hidden="false" outlineLevel="0" max="8" min="8" style="1" width="12.23"/>
    <col collapsed="false" customWidth="true" hidden="false" outlineLevel="0" max="10" min="10" style="1" width="10.85"/>
    <col collapsed="false" customWidth="true" hidden="false" outlineLevel="0" max="11" min="11" style="1" width="22.23"/>
    <col collapsed="false" customWidth="true" hidden="false" outlineLevel="0" max="12" min="12" style="1" width="6.24"/>
  </cols>
  <sheetData>
    <row r="1" customFormat="false" ht="16.5" hidden="false" customHeight="false" outlineLevel="0" collapsed="false">
      <c r="A1" s="13" t="s">
        <v>34</v>
      </c>
      <c r="B1" s="13" t="s">
        <v>121</v>
      </c>
      <c r="C1" s="13" t="s">
        <v>1</v>
      </c>
      <c r="D1" s="13" t="s">
        <v>122</v>
      </c>
      <c r="E1" s="13" t="s">
        <v>123</v>
      </c>
      <c r="F1" s="13" t="s">
        <v>124</v>
      </c>
      <c r="G1" s="13" t="s">
        <v>125</v>
      </c>
      <c r="H1" s="13" t="s">
        <v>126</v>
      </c>
      <c r="I1" s="13" t="s">
        <v>127</v>
      </c>
      <c r="J1" s="13" t="s">
        <v>128</v>
      </c>
      <c r="K1" s="13" t="s">
        <v>129</v>
      </c>
      <c r="L1" s="3" t="s">
        <v>41</v>
      </c>
    </row>
    <row r="2" customFormat="false" ht="16.5" hidden="false" customHeight="false" outlineLevel="0" collapsed="false">
      <c r="A2" s="27" t="n">
        <v>1</v>
      </c>
      <c r="B2" s="28" t="str">
        <f aca="false">D2&amp;"_"&amp;E2</f>
        <v>slime_blue</v>
      </c>
      <c r="C2" s="7" t="s">
        <v>86</v>
      </c>
      <c r="D2" s="7" t="s">
        <v>130</v>
      </c>
      <c r="E2" s="29" t="s">
        <v>131</v>
      </c>
      <c r="F2" s="7" t="n">
        <v>1</v>
      </c>
      <c r="G2" s="7" t="n">
        <v>1</v>
      </c>
      <c r="H2" s="7" t="n">
        <v>0</v>
      </c>
      <c r="I2" s="7" t="s">
        <v>132</v>
      </c>
      <c r="J2" s="29" t="s">
        <v>131</v>
      </c>
      <c r="K2" s="7" t="n">
        <v>0.1</v>
      </c>
      <c r="L2" s="3"/>
    </row>
    <row r="3" customFormat="false" ht="16.5" hidden="false" customHeight="false" outlineLevel="0" collapsed="false">
      <c r="A3" s="27" t="n">
        <v>1</v>
      </c>
      <c r="B3" s="28" t="str">
        <f aca="false">D3&amp;"_"&amp;E3</f>
        <v>slime_green</v>
      </c>
      <c r="C3" s="7" t="s">
        <v>90</v>
      </c>
      <c r="D3" s="7" t="s">
        <v>130</v>
      </c>
      <c r="E3" s="9" t="s">
        <v>133</v>
      </c>
      <c r="F3" s="7" t="n">
        <v>2</v>
      </c>
      <c r="G3" s="7" t="n">
        <v>1</v>
      </c>
      <c r="H3" s="7" t="n">
        <v>0</v>
      </c>
      <c r="I3" s="7" t="s">
        <v>132</v>
      </c>
      <c r="J3" s="9" t="s">
        <v>133</v>
      </c>
      <c r="K3" s="7" t="n">
        <v>0.1</v>
      </c>
      <c r="L3" s="3"/>
    </row>
    <row r="4" customFormat="false" ht="16.5" hidden="false" customHeight="false" outlineLevel="0" collapsed="false">
      <c r="A4" s="27" t="n">
        <v>1</v>
      </c>
      <c r="B4" s="28" t="str">
        <f aca="false">D4&amp;"_"&amp;E4</f>
        <v>slime_red</v>
      </c>
      <c r="C4" s="7" t="s">
        <v>134</v>
      </c>
      <c r="D4" s="7" t="s">
        <v>130</v>
      </c>
      <c r="E4" s="27" t="s">
        <v>135</v>
      </c>
      <c r="F4" s="7" t="n">
        <v>3</v>
      </c>
      <c r="G4" s="7" t="n">
        <v>1</v>
      </c>
      <c r="H4" s="7" t="n">
        <v>0</v>
      </c>
      <c r="I4" s="7" t="s">
        <v>132</v>
      </c>
      <c r="J4" s="27" t="s">
        <v>135</v>
      </c>
      <c r="K4" s="7" t="n">
        <v>0.1</v>
      </c>
      <c r="L4" s="3"/>
    </row>
    <row r="5" customFormat="false" ht="16.5" hidden="false" customHeight="false" outlineLevel="0" collapsed="false">
      <c r="A5" s="27" t="n">
        <v>1</v>
      </c>
      <c r="B5" s="28" t="str">
        <f aca="false">D5&amp;"_"&amp;E5</f>
        <v>slime_purple</v>
      </c>
      <c r="C5" s="7" t="s">
        <v>136</v>
      </c>
      <c r="D5" s="7" t="s">
        <v>130</v>
      </c>
      <c r="E5" s="30" t="s">
        <v>137</v>
      </c>
      <c r="F5" s="7" t="n">
        <v>10</v>
      </c>
      <c r="G5" s="7" t="n">
        <v>5</v>
      </c>
      <c r="H5" s="7" t="n">
        <v>0</v>
      </c>
      <c r="I5" s="7" t="s">
        <v>132</v>
      </c>
      <c r="J5" s="30" t="s">
        <v>137</v>
      </c>
      <c r="K5" s="7" t="n">
        <v>0.1</v>
      </c>
      <c r="L5" s="3"/>
    </row>
    <row r="6" customFormat="false" ht="16.5" hidden="false" customHeight="false" outlineLevel="0" collapsed="false">
      <c r="A6" s="27" t="n">
        <v>1</v>
      </c>
      <c r="B6" s="28" t="str">
        <f aca="false">D6&amp;"_"&amp;E6</f>
        <v>slime_black</v>
      </c>
      <c r="C6" s="7" t="s">
        <v>138</v>
      </c>
      <c r="D6" s="7" t="s">
        <v>130</v>
      </c>
      <c r="E6" s="31" t="s">
        <v>139</v>
      </c>
      <c r="F6" s="7" t="n">
        <v>20</v>
      </c>
      <c r="G6" s="7" t="n">
        <v>10</v>
      </c>
      <c r="H6" s="27" t="n">
        <v>1</v>
      </c>
      <c r="I6" s="7" t="s">
        <v>132</v>
      </c>
      <c r="J6" s="31" t="s">
        <v>139</v>
      </c>
      <c r="K6" s="7" t="n">
        <v>0.3</v>
      </c>
      <c r="L6" s="3"/>
    </row>
    <row r="7" customFormat="false" ht="16.5" hidden="false" customHeight="false" outlineLevel="0" collapsed="false">
      <c r="A7" s="27" t="n">
        <v>1</v>
      </c>
      <c r="B7" s="28" t="str">
        <f aca="false">D7&amp;"_"&amp;E7</f>
        <v>slime_metal</v>
      </c>
      <c r="C7" s="7" t="s">
        <v>94</v>
      </c>
      <c r="D7" s="7" t="s">
        <v>130</v>
      </c>
      <c r="E7" s="32" t="s">
        <v>140</v>
      </c>
      <c r="F7" s="7" t="n">
        <v>50</v>
      </c>
      <c r="G7" s="7" t="n">
        <v>20</v>
      </c>
      <c r="H7" s="7" t="n">
        <v>0</v>
      </c>
      <c r="I7" s="7" t="s">
        <v>132</v>
      </c>
      <c r="J7" s="7" t="s">
        <v>141</v>
      </c>
      <c r="K7" s="7" t="n">
        <v>0.3</v>
      </c>
      <c r="L7" s="3"/>
    </row>
    <row r="8" customFormat="false" ht="16.5" hidden="false" customHeight="false" outlineLevel="0" collapsed="false">
      <c r="A8" s="7" t="n">
        <v>0</v>
      </c>
      <c r="B8" s="28" t="str">
        <f aca="false">D8&amp;"_"&amp;E8</f>
        <v>dragon_red</v>
      </c>
      <c r="C8" s="7" t="s">
        <v>103</v>
      </c>
      <c r="D8" s="7" t="s">
        <v>142</v>
      </c>
      <c r="E8" s="27" t="s">
        <v>135</v>
      </c>
      <c r="F8" s="7" t="n">
        <v>100</v>
      </c>
      <c r="G8" s="7" t="n">
        <v>30</v>
      </c>
      <c r="H8" s="7" t="n">
        <v>0</v>
      </c>
      <c r="I8" s="7" t="s">
        <v>132</v>
      </c>
      <c r="J8" s="27" t="s">
        <v>135</v>
      </c>
      <c r="K8" s="7" t="n">
        <v>0.5</v>
      </c>
      <c r="L8" s="3"/>
    </row>
    <row r="9" customFormat="false" ht="16.5" hidden="false" customHeight="false" outlineLevel="0" collapsed="false">
      <c r="A9" s="7" t="n">
        <v>0</v>
      </c>
      <c r="B9" s="28" t="str">
        <f aca="false">D9&amp;"_"&amp;E9</f>
        <v>golem_metal</v>
      </c>
      <c r="C9" s="7" t="s">
        <v>106</v>
      </c>
      <c r="D9" s="7" t="s">
        <v>143</v>
      </c>
      <c r="E9" s="32" t="s">
        <v>140</v>
      </c>
      <c r="F9" s="7" t="n">
        <v>150</v>
      </c>
      <c r="G9" s="7" t="n">
        <v>15</v>
      </c>
      <c r="H9" s="27" t="n">
        <v>1</v>
      </c>
      <c r="I9" s="7" t="s">
        <v>132</v>
      </c>
      <c r="J9" s="7" t="s">
        <v>141</v>
      </c>
      <c r="K9" s="7" t="n">
        <v>0.5</v>
      </c>
      <c r="L9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0" sqref="A1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4.77"/>
    <col collapsed="false" customWidth="true" hidden="false" outlineLevel="0" max="2" min="2" style="1" width="28.85"/>
    <col collapsed="false" customWidth="true" hidden="false" outlineLevel="0" max="3" min="3" style="1" width="6.07"/>
    <col collapsed="false" customWidth="true" hidden="false" outlineLevel="0" max="4" min="4" style="1" width="7.46"/>
    <col collapsed="false" customWidth="true" hidden="false" outlineLevel="0" max="5" min="5" style="1" width="4.69"/>
    <col collapsed="false" customWidth="true" hidden="false" outlineLevel="0" max="6" min="6" style="1" width="5.07"/>
    <col collapsed="false" customWidth="true" hidden="false" outlineLevel="0" max="7" min="7" style="1" width="16.15"/>
    <col collapsed="false" customWidth="true" hidden="false" outlineLevel="0" max="8" min="8" style="1" width="35.38"/>
    <col collapsed="false" customWidth="true" hidden="false" outlineLevel="0" max="9" min="9" style="1" width="16.24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41</v>
      </c>
      <c r="I1" s="4" t="s">
        <v>8</v>
      </c>
    </row>
    <row r="2" customFormat="false" ht="16.5" hidden="false" customHeight="false" outlineLevel="0" collapsed="false">
      <c r="A2" s="33" t="s">
        <v>144</v>
      </c>
      <c r="B2" s="19" t="s">
        <v>145</v>
      </c>
      <c r="C2" s="19" t="n">
        <v>1</v>
      </c>
      <c r="D2" s="9" t="s">
        <v>25</v>
      </c>
      <c r="E2" s="19" t="n">
        <v>0.25</v>
      </c>
      <c r="F2" s="19" t="n">
        <v>3</v>
      </c>
      <c r="G2" s="19" t="s">
        <v>146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33" t="s">
        <v>147</v>
      </c>
      <c r="B3" s="19" t="s">
        <v>148</v>
      </c>
      <c r="C3" s="19" t="n">
        <v>1</v>
      </c>
      <c r="D3" s="9" t="s">
        <v>25</v>
      </c>
      <c r="E3" s="19" t="n">
        <v>0.25</v>
      </c>
      <c r="F3" s="19" t="n">
        <v>3</v>
      </c>
      <c r="G3" s="19" t="s">
        <v>146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33" t="s">
        <v>149</v>
      </c>
      <c r="B4" s="19" t="s">
        <v>150</v>
      </c>
      <c r="C4" s="19" t="n">
        <v>16</v>
      </c>
      <c r="D4" s="9" t="s">
        <v>25</v>
      </c>
      <c r="E4" s="19" t="n">
        <v>1</v>
      </c>
      <c r="F4" s="19" t="n">
        <v>100</v>
      </c>
      <c r="G4" s="19" t="s">
        <v>151</v>
      </c>
      <c r="H4" s="3" t="s">
        <v>152</v>
      </c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33" t="s">
        <v>153</v>
      </c>
      <c r="B5" s="19" t="s">
        <v>154</v>
      </c>
      <c r="C5" s="19" t="n">
        <v>1</v>
      </c>
      <c r="D5" s="8" t="s">
        <v>11</v>
      </c>
      <c r="E5" s="19" t="n">
        <v>1</v>
      </c>
      <c r="F5" s="19" t="n">
        <v>100</v>
      </c>
      <c r="G5" s="19" t="s">
        <v>155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33" t="s">
        <v>156</v>
      </c>
      <c r="B6" s="19" t="s">
        <v>157</v>
      </c>
      <c r="C6" s="19" t="n">
        <v>5</v>
      </c>
      <c r="D6" s="8" t="s">
        <v>11</v>
      </c>
      <c r="E6" s="19" t="n">
        <v>1</v>
      </c>
      <c r="F6" s="19" t="n">
        <v>100</v>
      </c>
      <c r="G6" s="19" t="s">
        <v>155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33" t="s">
        <v>158</v>
      </c>
      <c r="B7" s="19" t="s">
        <v>159</v>
      </c>
      <c r="C7" s="19" t="n">
        <v>20</v>
      </c>
      <c r="D7" s="8" t="s">
        <v>11</v>
      </c>
      <c r="E7" s="19" t="n">
        <v>1</v>
      </c>
      <c r="F7" s="19" t="n">
        <v>500</v>
      </c>
      <c r="G7" s="19" t="s">
        <v>155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33" t="s">
        <v>160</v>
      </c>
      <c r="B8" s="19" t="s">
        <v>161</v>
      </c>
      <c r="C8" s="19" t="n">
        <v>10</v>
      </c>
      <c r="D8" s="8" t="s">
        <v>11</v>
      </c>
      <c r="E8" s="19" t="n">
        <v>1</v>
      </c>
      <c r="F8" s="19" t="n">
        <v>150</v>
      </c>
      <c r="G8" s="19" t="s">
        <v>15</v>
      </c>
      <c r="H8" s="3"/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33" t="s">
        <v>162</v>
      </c>
      <c r="B9" s="19" t="s">
        <v>163</v>
      </c>
      <c r="C9" s="19" t="n">
        <v>5</v>
      </c>
      <c r="D9" s="8" t="s">
        <v>11</v>
      </c>
      <c r="E9" s="19" t="n">
        <v>1</v>
      </c>
      <c r="F9" s="19" t="n">
        <v>500</v>
      </c>
      <c r="G9" s="19" t="s">
        <v>155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33" t="s">
        <v>164</v>
      </c>
      <c r="B10" s="19" t="s">
        <v>165</v>
      </c>
      <c r="C10" s="19" t="n">
        <v>150</v>
      </c>
      <c r="D10" s="8" t="s">
        <v>11</v>
      </c>
      <c r="E10" s="19" t="n">
        <v>1</v>
      </c>
      <c r="F10" s="19" t="n">
        <v>1000</v>
      </c>
      <c r="G10" s="19" t="s">
        <v>15</v>
      </c>
      <c r="H10" s="3"/>
      <c r="I10" s="4" t="n">
        <f aca="false">IF( COUNTIF(A10, "* *")=0, COUNTIF(A10, "*　*"),1)</f>
        <v>0</v>
      </c>
    </row>
    <row r="11" customFormat="false" ht="16.5" hidden="false" customHeight="false" outlineLevel="0" collapsed="false">
      <c r="A11" s="33" t="s">
        <v>166</v>
      </c>
      <c r="B11" s="19" t="s">
        <v>167</v>
      </c>
      <c r="C11" s="19" t="n">
        <v>50</v>
      </c>
      <c r="D11" s="8" t="s">
        <v>11</v>
      </c>
      <c r="E11" s="19" t="n">
        <v>1</v>
      </c>
      <c r="F11" s="19" t="n">
        <v>1000</v>
      </c>
      <c r="G11" s="19" t="s">
        <v>15</v>
      </c>
      <c r="H11" s="3"/>
      <c r="I11" s="4" t="n">
        <f aca="false">IF( COUNTIF(A11, "* *")=0, COUNTIF(A11, "*　*"),1)</f>
        <v>0</v>
      </c>
    </row>
    <row r="12" customFormat="false" ht="16.5" hidden="false" customHeight="false" outlineLevel="0" collapsed="false">
      <c r="A12" s="33" t="s">
        <v>168</v>
      </c>
      <c r="B12" s="19" t="s">
        <v>169</v>
      </c>
      <c r="C12" s="19" t="n">
        <v>100</v>
      </c>
      <c r="D12" s="8" t="s">
        <v>11</v>
      </c>
      <c r="E12" s="19" t="n">
        <v>1</v>
      </c>
      <c r="F12" s="19" t="n">
        <v>1000</v>
      </c>
      <c r="G12" s="19" t="s">
        <v>15</v>
      </c>
      <c r="H12" s="3"/>
      <c r="I12" s="4" t="n">
        <f aca="false">IF( COUNTIF(A12, "* *")=0, COUNTIF(A12, "*　*"),1)</f>
        <v>0</v>
      </c>
    </row>
    <row r="13" customFormat="false" ht="16.5" hidden="false" customHeight="false" outlineLevel="0" collapsed="false">
      <c r="A13" s="33" t="s">
        <v>170</v>
      </c>
      <c r="B13" s="19" t="s">
        <v>171</v>
      </c>
      <c r="C13" s="19" t="n">
        <v>2</v>
      </c>
      <c r="D13" s="9" t="s">
        <v>25</v>
      </c>
      <c r="E13" s="19" t="n">
        <v>0.1</v>
      </c>
      <c r="F13" s="19" t="n">
        <v>10</v>
      </c>
      <c r="G13" s="19" t="s">
        <v>20</v>
      </c>
      <c r="H13" s="3"/>
      <c r="I13" s="4" t="n">
        <f aca="false">IF( COUNTIF(A13, "* *")=0, COUNTIF(A13, "*　*"),1)</f>
        <v>0</v>
      </c>
    </row>
    <row r="14" customFormat="false" ht="16.5" hidden="false" customHeight="false" outlineLevel="0" collapsed="false">
      <c r="A14" s="33" t="s">
        <v>172</v>
      </c>
      <c r="B14" s="19" t="s">
        <v>173</v>
      </c>
      <c r="C14" s="7" t="n">
        <v>1</v>
      </c>
      <c r="D14" s="9" t="s">
        <v>25</v>
      </c>
      <c r="E14" s="19" t="n">
        <v>0.25</v>
      </c>
      <c r="F14" s="19" t="n">
        <v>3</v>
      </c>
      <c r="G14" s="19" t="s">
        <v>146</v>
      </c>
      <c r="H14" s="3" t="s">
        <v>174</v>
      </c>
      <c r="I14" s="4" t="n">
        <f aca="false">IF( COUNTIF(A14, "* *")=0, COUNTIF(A14, "*　*"),1)</f>
        <v>0</v>
      </c>
    </row>
    <row r="15" customFormat="false" ht="16.5" hidden="false" customHeight="false" outlineLevel="0" collapsed="false">
      <c r="A15" s="33" t="s">
        <v>175</v>
      </c>
      <c r="B15" s="19" t="s">
        <v>176</v>
      </c>
      <c r="C15" s="7" t="n">
        <v>1.5</v>
      </c>
      <c r="D15" s="9" t="s">
        <v>25</v>
      </c>
      <c r="E15" s="19" t="n">
        <v>0.25</v>
      </c>
      <c r="F15" s="19" t="n">
        <v>3</v>
      </c>
      <c r="G15" s="19" t="s">
        <v>146</v>
      </c>
      <c r="H15" s="3" t="s">
        <v>174</v>
      </c>
      <c r="I15" s="4" t="n">
        <f aca="false">IF( COUNTIF(A15, "* *")=0, COUNTIF(A15, "*　*"),1)</f>
        <v>0</v>
      </c>
    </row>
    <row r="16" customFormat="false" ht="16.5" hidden="false" customHeight="false" outlineLevel="0" collapsed="false">
      <c r="A16" s="33" t="s">
        <v>177</v>
      </c>
      <c r="B16" s="19" t="s">
        <v>178</v>
      </c>
      <c r="C16" s="7" t="n">
        <v>2</v>
      </c>
      <c r="D16" s="9" t="s">
        <v>25</v>
      </c>
      <c r="E16" s="19" t="n">
        <v>0.25</v>
      </c>
      <c r="F16" s="19" t="n">
        <v>3</v>
      </c>
      <c r="G16" s="19" t="s">
        <v>146</v>
      </c>
      <c r="H16" s="3" t="s">
        <v>174</v>
      </c>
      <c r="I16" s="4" t="n">
        <f aca="false">IF( COUNTIF(A16, "* *")=0, COUNTIF(A16, "*　*"),1)</f>
        <v>0</v>
      </c>
    </row>
    <row r="33" customFormat="false" ht="16.5" hidden="false" customHeight="false" outlineLevel="0" collapsed="false">
      <c r="A33" s="25"/>
      <c r="B33" s="25"/>
      <c r="C33" s="25"/>
      <c r="D33" s="25"/>
    </row>
    <row r="34" customFormat="false" ht="16.5" hidden="false" customHeight="false" outlineLevel="0" collapsed="false">
      <c r="A34" s="25"/>
      <c r="B34" s="25"/>
      <c r="C34" s="25"/>
      <c r="D34" s="25"/>
    </row>
    <row r="35" customFormat="false" ht="16.5" hidden="false" customHeight="false" outlineLevel="0" collapsed="false">
      <c r="A35" s="25"/>
      <c r="B35" s="25"/>
      <c r="C35" s="25"/>
      <c r="D35" s="25"/>
    </row>
    <row r="36" customFormat="false" ht="16.5" hidden="false" customHeight="false" outlineLevel="0" collapsed="false">
      <c r="A36" s="25"/>
      <c r="B36" s="25"/>
      <c r="C36" s="25"/>
      <c r="D36" s="25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7" activeCellId="0" sqref="A7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3"/>
    <col collapsed="false" customWidth="true" hidden="false" outlineLevel="0" max="2" min="2" style="1" width="6.53"/>
    <col collapsed="false" customWidth="true" hidden="false" outlineLevel="0" max="3" min="3" style="1" width="10.15"/>
    <col collapsed="false" customWidth="true" hidden="false" outlineLevel="0" max="4" min="4" style="1" width="19.53"/>
    <col collapsed="false" customWidth="true" hidden="false" outlineLevel="0" max="5" min="5" style="1" width="22.76"/>
    <col collapsed="false" customWidth="true" hidden="false" outlineLevel="0" max="6" min="6" style="1" width="22.38"/>
    <col collapsed="false" customWidth="true" hidden="false" outlineLevel="0" max="7" min="7" style="1" width="24.46"/>
    <col collapsed="false" customWidth="true" hidden="false" outlineLevel="0" max="9" min="9" style="1" width="42.23"/>
    <col collapsed="false" customWidth="true" hidden="false" outlineLevel="0" max="11" min="11" style="1" width="6.92"/>
    <col collapsed="false" customWidth="true" hidden="false" outlineLevel="0" max="12" min="12" style="1" width="17.76"/>
  </cols>
  <sheetData>
    <row r="1" customFormat="false" ht="16.5" hidden="false" customHeight="false" outlineLevel="0" collapsed="false">
      <c r="A1" s="13" t="s">
        <v>34</v>
      </c>
      <c r="B1" s="34" t="s">
        <v>179</v>
      </c>
      <c r="C1" s="34" t="s">
        <v>180</v>
      </c>
      <c r="D1" s="34" t="s">
        <v>181</v>
      </c>
      <c r="E1" s="34" t="s">
        <v>182</v>
      </c>
      <c r="F1" s="34" t="s">
        <v>183</v>
      </c>
      <c r="G1" s="34" t="s">
        <v>184</v>
      </c>
      <c r="H1" s="3" t="s">
        <v>41</v>
      </c>
      <c r="I1" s="3" t="s">
        <v>42</v>
      </c>
    </row>
    <row r="2" customFormat="false" ht="16.5" hidden="false" customHeight="false" outlineLevel="0" collapsed="false">
      <c r="A2" s="27" t="n">
        <v>1</v>
      </c>
      <c r="B2" s="35" t="n">
        <v>1</v>
      </c>
      <c r="C2" s="7" t="n">
        <v>10</v>
      </c>
      <c r="D2" s="32" t="n">
        <v>1</v>
      </c>
      <c r="E2" s="32" t="n">
        <v>1</v>
      </c>
      <c r="F2" s="32" t="n">
        <v>1</v>
      </c>
      <c r="G2" s="32" t="n">
        <v>1</v>
      </c>
      <c r="H2" s="3"/>
      <c r="I2" s="3" t="s">
        <v>185</v>
      </c>
    </row>
    <row r="3" customFormat="false" ht="16.5" hidden="false" customHeight="false" outlineLevel="0" collapsed="false">
      <c r="A3" s="27" t="n">
        <v>1</v>
      </c>
      <c r="B3" s="35" t="n">
        <v>2</v>
      </c>
      <c r="C3" s="7" t="n">
        <v>15</v>
      </c>
      <c r="D3" s="32" t="n">
        <v>1</v>
      </c>
      <c r="E3" s="7" t="n">
        <v>3</v>
      </c>
      <c r="F3" s="32" t="n">
        <v>1</v>
      </c>
      <c r="G3" s="32" t="n">
        <v>1</v>
      </c>
      <c r="H3" s="3"/>
      <c r="I3" s="3"/>
    </row>
    <row r="4" customFormat="false" ht="16.5" hidden="false" customHeight="false" outlineLevel="0" collapsed="false">
      <c r="A4" s="27" t="n">
        <v>1</v>
      </c>
      <c r="B4" s="35" t="n">
        <v>3</v>
      </c>
      <c r="C4" s="7" t="n">
        <v>20</v>
      </c>
      <c r="D4" s="32" t="n">
        <v>1</v>
      </c>
      <c r="E4" s="7" t="n">
        <v>5</v>
      </c>
      <c r="F4" s="32" t="n">
        <v>1</v>
      </c>
      <c r="G4" s="32" t="n">
        <v>1</v>
      </c>
      <c r="H4" s="3"/>
      <c r="I4" s="3"/>
    </row>
    <row r="5" customFormat="false" ht="16.5" hidden="false" customHeight="false" outlineLevel="0" collapsed="false">
      <c r="A5" s="27" t="n">
        <v>1</v>
      </c>
      <c r="B5" s="36" t="n">
        <v>4</v>
      </c>
      <c r="C5" s="7" t="n">
        <v>30</v>
      </c>
      <c r="D5" s="32" t="n">
        <v>1</v>
      </c>
      <c r="E5" s="7" t="n">
        <v>7</v>
      </c>
      <c r="F5" s="32" t="n">
        <v>1</v>
      </c>
      <c r="G5" s="32" t="n">
        <v>1</v>
      </c>
      <c r="H5" s="3"/>
      <c r="I5" s="3"/>
    </row>
    <row r="6" customFormat="false" ht="16.5" hidden="false" customHeight="false" outlineLevel="0" collapsed="false">
      <c r="A6" s="27" t="n">
        <v>1</v>
      </c>
      <c r="B6" s="36" t="n">
        <v>5</v>
      </c>
      <c r="C6" s="7" t="n">
        <v>30</v>
      </c>
      <c r="D6" s="32" t="n">
        <v>1</v>
      </c>
      <c r="E6" s="7" t="n">
        <v>10</v>
      </c>
      <c r="F6" s="32" t="n">
        <v>1</v>
      </c>
      <c r="G6" s="32" t="n">
        <v>1</v>
      </c>
      <c r="H6" s="3"/>
      <c r="I6" s="3"/>
    </row>
    <row r="7" customFormat="false" ht="16.5" hidden="false" customHeight="false" outlineLevel="0" collapsed="false">
      <c r="A7" s="27" t="n">
        <v>1</v>
      </c>
      <c r="B7" s="36" t="n">
        <v>6</v>
      </c>
      <c r="C7" s="7" t="n">
        <v>40</v>
      </c>
      <c r="D7" s="32" t="n">
        <v>1</v>
      </c>
      <c r="E7" s="7" t="n">
        <v>15</v>
      </c>
      <c r="F7" s="32" t="n">
        <v>1</v>
      </c>
      <c r="G7" s="32" t="n">
        <v>1</v>
      </c>
      <c r="H7" s="3"/>
      <c r="I7" s="3"/>
    </row>
    <row r="8" customFormat="false" ht="16.5" hidden="false" customHeight="false" outlineLevel="0" collapsed="false">
      <c r="A8" s="32" t="n">
        <v>0</v>
      </c>
      <c r="B8" s="37" t="n">
        <v>7</v>
      </c>
      <c r="C8" s="7" t="n">
        <v>50</v>
      </c>
      <c r="D8" s="32" t="n">
        <v>1</v>
      </c>
      <c r="E8" s="7" t="n">
        <v>20</v>
      </c>
      <c r="F8" s="32" t="n">
        <v>1</v>
      </c>
      <c r="G8" s="32" t="n">
        <v>1</v>
      </c>
      <c r="H8" s="3"/>
      <c r="I8" s="3"/>
    </row>
    <row r="9" customFormat="false" ht="16.5" hidden="false" customHeight="false" outlineLevel="0" collapsed="false">
      <c r="A9" s="32" t="n">
        <v>0</v>
      </c>
      <c r="B9" s="37" t="n">
        <v>8</v>
      </c>
      <c r="C9" s="7" t="n">
        <v>50</v>
      </c>
      <c r="D9" s="32" t="n">
        <v>1</v>
      </c>
      <c r="E9" s="7" t="n">
        <v>25</v>
      </c>
      <c r="F9" s="32" t="n">
        <v>1</v>
      </c>
      <c r="G9" s="32" t="n">
        <v>1</v>
      </c>
      <c r="H9" s="3"/>
      <c r="I9" s="3"/>
    </row>
    <row r="10" customFormat="false" ht="16.5" hidden="false" customHeight="false" outlineLevel="0" collapsed="false">
      <c r="A10" s="32" t="n">
        <v>0</v>
      </c>
      <c r="B10" s="37" t="n">
        <v>9</v>
      </c>
      <c r="C10" s="7" t="n">
        <v>50</v>
      </c>
      <c r="D10" s="32" t="n">
        <v>1</v>
      </c>
      <c r="E10" s="7" t="n">
        <v>30</v>
      </c>
      <c r="F10" s="32" t="n">
        <v>1</v>
      </c>
      <c r="G10" s="32" t="n">
        <v>1</v>
      </c>
      <c r="H10" s="3"/>
      <c r="I10" s="3"/>
    </row>
    <row r="11" customFormat="false" ht="16.5" hidden="false" customHeight="false" outlineLevel="0" collapsed="false">
      <c r="A11" s="32" t="n">
        <v>0</v>
      </c>
      <c r="B11" s="37" t="n">
        <v>10</v>
      </c>
      <c r="C11" s="7" t="n">
        <v>70</v>
      </c>
      <c r="D11" s="32" t="n">
        <v>1</v>
      </c>
      <c r="E11" s="7" t="n">
        <v>30</v>
      </c>
      <c r="F11" s="32" t="n">
        <v>1</v>
      </c>
      <c r="G11" s="32" t="n">
        <v>1</v>
      </c>
      <c r="H11" s="3"/>
      <c r="I11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1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D8" activeCellId="0" sqref="D8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7" width="9.07"/>
    <col collapsed="false" customWidth="true" hidden="false" outlineLevel="0" max="2" min="2" style="17" width="8.15"/>
    <col collapsed="false" customWidth="true" hidden="false" outlineLevel="0" max="3" min="3" style="17" width="15.61"/>
    <col collapsed="false" customWidth="true" hidden="false" outlineLevel="0" max="4" min="4" style="17" width="14.61"/>
    <col collapsed="false" customWidth="false" hidden="false" outlineLevel="0" max="5" min="5" style="17" width="11.53"/>
    <col collapsed="false" customWidth="true" hidden="false" outlineLevel="0" max="6" min="6" style="17" width="16.07"/>
    <col collapsed="false" customWidth="true" hidden="false" outlineLevel="0" max="7" min="7" style="17" width="24.46"/>
    <col collapsed="false" customWidth="true" hidden="false" outlineLevel="0" max="8" min="8" style="17" width="18"/>
    <col collapsed="false" customWidth="true" hidden="false" outlineLevel="0" max="9" min="9" style="17" width="23"/>
    <col collapsed="false" customWidth="true" hidden="false" outlineLevel="0" max="10" min="10" style="17" width="20.92"/>
    <col collapsed="false" customWidth="true" hidden="false" outlineLevel="0" max="11" min="11" style="1" width="38.15"/>
  </cols>
  <sheetData>
    <row r="1" customFormat="false" ht="16.5" hidden="false" customHeight="false" outlineLevel="0" collapsed="false">
      <c r="A1" s="13" t="s">
        <v>34</v>
      </c>
      <c r="B1" s="14" t="s">
        <v>179</v>
      </c>
      <c r="C1" s="14" t="s">
        <v>121</v>
      </c>
      <c r="D1" s="14" t="s">
        <v>186</v>
      </c>
      <c r="E1" s="14" t="s">
        <v>187</v>
      </c>
      <c r="F1" s="14" t="s">
        <v>188</v>
      </c>
      <c r="G1" s="14" t="s">
        <v>189</v>
      </c>
      <c r="H1" s="14" t="s">
        <v>190</v>
      </c>
      <c r="I1" s="38" t="s">
        <v>191</v>
      </c>
      <c r="J1" s="39" t="s">
        <v>42</v>
      </c>
      <c r="K1" s="39" t="s">
        <v>192</v>
      </c>
    </row>
    <row r="2" customFormat="false" ht="16.5" hidden="false" customHeight="false" outlineLevel="0" collapsed="false">
      <c r="A2" s="18" t="n">
        <v>1</v>
      </c>
      <c r="B2" s="40" t="n">
        <v>1</v>
      </c>
      <c r="C2" s="40" t="s">
        <v>85</v>
      </c>
      <c r="D2" s="40" t="n">
        <v>45</v>
      </c>
      <c r="E2" s="40" t="n">
        <v>0</v>
      </c>
      <c r="F2" s="40" t="n">
        <v>0</v>
      </c>
      <c r="G2" s="40" t="n">
        <v>0</v>
      </c>
      <c r="H2" s="40" t="n">
        <v>0</v>
      </c>
      <c r="I2" s="38" t="n">
        <f aca="false">COUNTIF(enemy!B:B,C2)</f>
        <v>1</v>
      </c>
      <c r="J2" s="41" t="s">
        <v>188</v>
      </c>
      <c r="K2" s="42" t="s">
        <v>193</v>
      </c>
    </row>
    <row r="3" customFormat="false" ht="16.5" hidden="false" customHeight="false" outlineLevel="0" collapsed="false">
      <c r="A3" s="43" t="n">
        <v>0</v>
      </c>
      <c r="B3" s="40" t="n">
        <v>1</v>
      </c>
      <c r="C3" s="40" t="s">
        <v>89</v>
      </c>
      <c r="D3" s="40" t="n">
        <v>35</v>
      </c>
      <c r="E3" s="40" t="n">
        <v>0</v>
      </c>
      <c r="F3" s="40" t="n">
        <v>0</v>
      </c>
      <c r="G3" s="40" t="n">
        <v>0</v>
      </c>
      <c r="H3" s="40" t="n">
        <v>0</v>
      </c>
      <c r="I3" s="38" t="n">
        <f aca="false">COUNTIF(enemy!B:B,C3)</f>
        <v>1</v>
      </c>
      <c r="J3" s="41" t="s">
        <v>189</v>
      </c>
      <c r="K3" s="42" t="s">
        <v>194</v>
      </c>
    </row>
    <row r="4" customFormat="false" ht="16.5" hidden="false" customHeight="false" outlineLevel="0" collapsed="false">
      <c r="A4" s="43" t="n">
        <v>0</v>
      </c>
      <c r="B4" s="40" t="n">
        <v>1</v>
      </c>
      <c r="C4" s="40" t="s">
        <v>195</v>
      </c>
      <c r="D4" s="40" t="n">
        <v>20</v>
      </c>
      <c r="E4" s="40" t="n">
        <v>0</v>
      </c>
      <c r="F4" s="40" t="n">
        <v>0</v>
      </c>
      <c r="G4" s="40" t="n">
        <v>0</v>
      </c>
      <c r="H4" s="40" t="n">
        <v>0</v>
      </c>
      <c r="I4" s="38" t="n">
        <f aca="false">COUNTIF(enemy!B:B,C4)</f>
        <v>1</v>
      </c>
      <c r="J4" s="41" t="s">
        <v>190</v>
      </c>
      <c r="K4" s="42" t="s">
        <v>196</v>
      </c>
    </row>
    <row r="5" customFormat="false" ht="16.5" hidden="false" customHeight="false" outlineLevel="0" collapsed="false">
      <c r="A5" s="43" t="n">
        <v>0</v>
      </c>
      <c r="B5" s="44" t="n">
        <v>2</v>
      </c>
      <c r="C5" s="45" t="s">
        <v>85</v>
      </c>
      <c r="D5" s="45" t="n">
        <v>20</v>
      </c>
      <c r="E5" s="45" t="n">
        <v>0</v>
      </c>
      <c r="F5" s="45" t="n">
        <v>0</v>
      </c>
      <c r="G5" s="45" t="n">
        <v>0</v>
      </c>
      <c r="H5" s="45" t="n">
        <v>0</v>
      </c>
      <c r="I5" s="38" t="n">
        <f aca="false">COUNTIF(enemy!B:B,C5)</f>
        <v>1</v>
      </c>
      <c r="J5" s="41" t="s">
        <v>187</v>
      </c>
      <c r="K5" s="42" t="s">
        <v>197</v>
      </c>
    </row>
    <row r="6" customFormat="false" ht="16.5" hidden="false" customHeight="false" outlineLevel="0" collapsed="false">
      <c r="A6" s="43" t="n">
        <v>0</v>
      </c>
      <c r="B6" s="44" t="n">
        <v>2</v>
      </c>
      <c r="C6" s="45" t="s">
        <v>89</v>
      </c>
      <c r="D6" s="45" t="n">
        <v>30</v>
      </c>
      <c r="E6" s="45" t="n">
        <v>0</v>
      </c>
      <c r="F6" s="45" t="n">
        <v>0</v>
      </c>
      <c r="G6" s="45" t="n">
        <v>0</v>
      </c>
      <c r="H6" s="45" t="n">
        <v>0</v>
      </c>
      <c r="I6" s="38" t="n">
        <f aca="false">COUNTIF(enemy!B:B,C6)</f>
        <v>1</v>
      </c>
      <c r="J6" s="41"/>
      <c r="K6" s="42"/>
    </row>
    <row r="7" customFormat="false" ht="16.5" hidden="false" customHeight="false" outlineLevel="0" collapsed="false">
      <c r="A7" s="43" t="n">
        <v>0</v>
      </c>
      <c r="B7" s="44" t="n">
        <v>2</v>
      </c>
      <c r="C7" s="45" t="s">
        <v>195</v>
      </c>
      <c r="D7" s="45" t="n">
        <v>35</v>
      </c>
      <c r="E7" s="45" t="n">
        <v>0</v>
      </c>
      <c r="F7" s="45" t="n">
        <v>0</v>
      </c>
      <c r="G7" s="45" t="n">
        <v>0</v>
      </c>
      <c r="H7" s="45" t="n">
        <v>0</v>
      </c>
      <c r="I7" s="38" t="n">
        <f aca="false">COUNTIF(enemy!B:B,C7)</f>
        <v>1</v>
      </c>
      <c r="J7" s="41"/>
      <c r="K7" s="42"/>
    </row>
    <row r="8" customFormat="false" ht="16.5" hidden="false" customHeight="false" outlineLevel="0" collapsed="false">
      <c r="A8" s="43" t="n">
        <v>0</v>
      </c>
      <c r="B8" s="44" t="n">
        <v>2</v>
      </c>
      <c r="C8" s="45" t="s">
        <v>198</v>
      </c>
      <c r="D8" s="45" t="n">
        <v>15</v>
      </c>
      <c r="E8" s="45" t="n">
        <v>0</v>
      </c>
      <c r="F8" s="45" t="n">
        <v>0</v>
      </c>
      <c r="G8" s="45" t="n">
        <v>0</v>
      </c>
      <c r="H8" s="45" t="n">
        <v>0</v>
      </c>
      <c r="I8" s="38" t="n">
        <f aca="false">COUNTIF(enemy!B:B,C8)</f>
        <v>1</v>
      </c>
      <c r="J8" s="41"/>
      <c r="K8" s="42"/>
    </row>
    <row r="9" customFormat="false" ht="16.5" hidden="false" customHeight="false" outlineLevel="0" collapsed="false">
      <c r="A9" s="43" t="n">
        <v>0</v>
      </c>
      <c r="B9" s="46" t="n">
        <v>3</v>
      </c>
      <c r="C9" s="47" t="s">
        <v>89</v>
      </c>
      <c r="D9" s="46" t="n">
        <v>25</v>
      </c>
      <c r="E9" s="47" t="n">
        <v>0</v>
      </c>
      <c r="F9" s="47" t="n">
        <v>0</v>
      </c>
      <c r="G9" s="47" t="n">
        <v>0</v>
      </c>
      <c r="H9" s="47" t="n">
        <v>0</v>
      </c>
      <c r="I9" s="38" t="n">
        <f aca="false">COUNTIF(enemy!B:B,C9)</f>
        <v>1</v>
      </c>
      <c r="J9" s="41"/>
      <c r="K9" s="42"/>
    </row>
    <row r="10" customFormat="false" ht="16.5" hidden="false" customHeight="false" outlineLevel="0" collapsed="false">
      <c r="A10" s="43" t="n">
        <v>0</v>
      </c>
      <c r="B10" s="46" t="n">
        <v>3</v>
      </c>
      <c r="C10" s="47" t="s">
        <v>195</v>
      </c>
      <c r="D10" s="46" t="n">
        <v>50</v>
      </c>
      <c r="E10" s="47" t="n">
        <v>0</v>
      </c>
      <c r="F10" s="47" t="n">
        <v>0</v>
      </c>
      <c r="G10" s="47" t="n">
        <v>0</v>
      </c>
      <c r="H10" s="47" t="n">
        <v>0</v>
      </c>
      <c r="I10" s="38" t="n">
        <f aca="false">COUNTIF(enemy!B:B,C10)</f>
        <v>1</v>
      </c>
      <c r="J10" s="41"/>
      <c r="K10" s="42"/>
    </row>
    <row r="11" customFormat="false" ht="16.5" hidden="false" customHeight="false" outlineLevel="0" collapsed="false">
      <c r="A11" s="43" t="n">
        <v>0</v>
      </c>
      <c r="B11" s="46" t="n">
        <v>3</v>
      </c>
      <c r="C11" s="47" t="s">
        <v>198</v>
      </c>
      <c r="D11" s="46" t="n">
        <v>25</v>
      </c>
      <c r="E11" s="47" t="n">
        <v>0</v>
      </c>
      <c r="F11" s="47" t="n">
        <v>0</v>
      </c>
      <c r="G11" s="47" t="n">
        <v>0</v>
      </c>
      <c r="H11" s="47" t="n">
        <v>0</v>
      </c>
      <c r="I11" s="38" t="n">
        <f aca="false">COUNTIF(enemy!B:B,C11)</f>
        <v>1</v>
      </c>
      <c r="J11" s="41"/>
      <c r="K11" s="42"/>
    </row>
    <row r="12" customFormat="false" ht="16.5" hidden="false" customHeight="false" outlineLevel="0" collapsed="false">
      <c r="A12" s="43" t="n">
        <v>0</v>
      </c>
      <c r="B12" s="48" t="n">
        <v>4</v>
      </c>
      <c r="C12" s="48" t="s">
        <v>89</v>
      </c>
      <c r="D12" s="48" t="n">
        <v>20</v>
      </c>
      <c r="E12" s="48" t="n">
        <v>0</v>
      </c>
      <c r="F12" s="48" t="n">
        <v>0</v>
      </c>
      <c r="G12" s="48" t="n">
        <v>0</v>
      </c>
      <c r="H12" s="48" t="n">
        <v>0</v>
      </c>
      <c r="I12" s="38" t="n">
        <f aca="false">COUNTIF(enemy!B:B,C12)</f>
        <v>1</v>
      </c>
      <c r="J12" s="41"/>
      <c r="K12" s="42"/>
    </row>
    <row r="13" customFormat="false" ht="16.5" hidden="false" customHeight="false" outlineLevel="0" collapsed="false">
      <c r="A13" s="43" t="n">
        <v>0</v>
      </c>
      <c r="B13" s="48" t="n">
        <v>4</v>
      </c>
      <c r="C13" s="48" t="s">
        <v>195</v>
      </c>
      <c r="D13" s="48" t="n">
        <v>35</v>
      </c>
      <c r="E13" s="48" t="n">
        <v>0</v>
      </c>
      <c r="F13" s="48" t="n">
        <v>0</v>
      </c>
      <c r="G13" s="48" t="n">
        <v>0</v>
      </c>
      <c r="H13" s="48" t="n">
        <v>0</v>
      </c>
      <c r="I13" s="38" t="n">
        <f aca="false">COUNTIF(enemy!B:B,C13)</f>
        <v>1</v>
      </c>
      <c r="J13" s="41"/>
      <c r="K13" s="42"/>
    </row>
    <row r="14" customFormat="false" ht="16.5" hidden="false" customHeight="false" outlineLevel="0" collapsed="false">
      <c r="A14" s="43" t="n">
        <v>0</v>
      </c>
      <c r="B14" s="48" t="n">
        <v>4</v>
      </c>
      <c r="C14" s="48" t="s">
        <v>199</v>
      </c>
      <c r="D14" s="48" t="n">
        <v>15</v>
      </c>
      <c r="E14" s="48" t="n">
        <v>0</v>
      </c>
      <c r="F14" s="48" t="n">
        <v>0</v>
      </c>
      <c r="G14" s="49" t="n">
        <v>20</v>
      </c>
      <c r="H14" s="49" t="n">
        <v>1</v>
      </c>
      <c r="I14" s="38" t="n">
        <f aca="false">COUNTIF(enemy!B:B,C14)</f>
        <v>1</v>
      </c>
      <c r="J14" s="41"/>
      <c r="K14" s="42"/>
    </row>
    <row r="15" customFormat="false" ht="16.5" hidden="false" customHeight="false" outlineLevel="0" collapsed="false">
      <c r="A15" s="43" t="n">
        <v>0</v>
      </c>
      <c r="B15" s="48" t="n">
        <v>4</v>
      </c>
      <c r="C15" s="48" t="s">
        <v>198</v>
      </c>
      <c r="D15" s="48" t="n">
        <v>30</v>
      </c>
      <c r="E15" s="48" t="n">
        <v>0</v>
      </c>
      <c r="F15" s="48" t="n">
        <v>0</v>
      </c>
      <c r="G15" s="48" t="n">
        <v>0</v>
      </c>
      <c r="H15" s="48" t="n">
        <v>0</v>
      </c>
      <c r="I15" s="38" t="n">
        <f aca="false">COUNTIF(enemy!B:B,C15)</f>
        <v>1</v>
      </c>
      <c r="J15" s="41"/>
      <c r="K15" s="42"/>
    </row>
    <row r="16" customFormat="false" ht="16.5" hidden="false" customHeight="false" outlineLevel="0" collapsed="false">
      <c r="A16" s="43" t="n">
        <v>0</v>
      </c>
      <c r="B16" s="50" t="n">
        <v>5</v>
      </c>
      <c r="C16" s="50" t="s">
        <v>195</v>
      </c>
      <c r="D16" s="50" t="n">
        <v>45</v>
      </c>
      <c r="E16" s="50" t="n">
        <v>0</v>
      </c>
      <c r="F16" s="50" t="n">
        <v>0</v>
      </c>
      <c r="G16" s="50" t="n">
        <v>0</v>
      </c>
      <c r="H16" s="50" t="n">
        <v>0</v>
      </c>
      <c r="I16" s="38" t="n">
        <f aca="false">COUNTIF(enemy!B:B,C16)</f>
        <v>1</v>
      </c>
      <c r="J16" s="41"/>
      <c r="K16" s="42"/>
    </row>
    <row r="17" customFormat="false" ht="16.5" hidden="false" customHeight="false" outlineLevel="0" collapsed="false">
      <c r="A17" s="43" t="n">
        <v>0</v>
      </c>
      <c r="B17" s="50" t="n">
        <v>5</v>
      </c>
      <c r="C17" s="50" t="s">
        <v>199</v>
      </c>
      <c r="D17" s="50" t="n">
        <v>25</v>
      </c>
      <c r="E17" s="50" t="n">
        <v>0</v>
      </c>
      <c r="F17" s="50" t="n">
        <v>0</v>
      </c>
      <c r="G17" s="50" t="n">
        <v>0</v>
      </c>
      <c r="H17" s="50" t="n">
        <v>0</v>
      </c>
      <c r="I17" s="38" t="n">
        <f aca="false">COUNTIF(enemy!B:B,C17)</f>
        <v>1</v>
      </c>
      <c r="J17" s="41"/>
      <c r="K17" s="42"/>
    </row>
    <row r="18" customFormat="false" ht="16.5" hidden="false" customHeight="false" outlineLevel="0" collapsed="false">
      <c r="A18" s="43" t="n">
        <v>0</v>
      </c>
      <c r="B18" s="50" t="n">
        <v>5</v>
      </c>
      <c r="C18" s="50" t="s">
        <v>198</v>
      </c>
      <c r="D18" s="50" t="n">
        <v>20</v>
      </c>
      <c r="E18" s="50" t="n">
        <v>0</v>
      </c>
      <c r="F18" s="50" t="n">
        <v>0</v>
      </c>
      <c r="G18" s="50" t="n">
        <v>0</v>
      </c>
      <c r="H18" s="50" t="n">
        <v>0</v>
      </c>
      <c r="I18" s="38" t="n">
        <f aca="false">COUNTIF(enemy!B:B,C18)</f>
        <v>1</v>
      </c>
      <c r="J18" s="41"/>
      <c r="K18" s="42"/>
    </row>
    <row r="19" customFormat="false" ht="16.5" hidden="false" customHeight="false" outlineLevel="0" collapsed="false">
      <c r="A19" s="43" t="n">
        <v>0</v>
      </c>
      <c r="B19" s="50" t="n">
        <v>5</v>
      </c>
      <c r="C19" s="50" t="s">
        <v>93</v>
      </c>
      <c r="D19" s="50" t="n">
        <v>10</v>
      </c>
      <c r="E19" s="50" t="n">
        <v>1</v>
      </c>
      <c r="F19" s="50" t="n">
        <v>0</v>
      </c>
      <c r="G19" s="49" t="n">
        <v>30</v>
      </c>
      <c r="H19" s="49" t="n">
        <v>1</v>
      </c>
      <c r="I19" s="38" t="n">
        <f aca="false">COUNTIF(enemy!B:B,C19)</f>
        <v>1</v>
      </c>
      <c r="J19" s="41"/>
      <c r="K19" s="42"/>
    </row>
    <row r="20" customFormat="false" ht="16.5" hidden="false" customHeight="false" outlineLevel="0" collapsed="false">
      <c r="A20" s="43" t="n">
        <v>0</v>
      </c>
      <c r="B20" s="17" t="n">
        <v>8</v>
      </c>
      <c r="C20" s="17" t="s">
        <v>102</v>
      </c>
      <c r="D20" s="17" t="n">
        <v>3</v>
      </c>
      <c r="E20" s="17" t="n">
        <v>1</v>
      </c>
      <c r="F20" s="17" t="n">
        <v>2</v>
      </c>
      <c r="G20" s="17" t="n">
        <v>20</v>
      </c>
      <c r="H20" s="17" t="n">
        <v>0</v>
      </c>
      <c r="I20" s="38" t="n">
        <f aca="false">COUNTIF(enemy!B:B,C20)</f>
        <v>1</v>
      </c>
      <c r="J20" s="51" t="s">
        <v>200</v>
      </c>
      <c r="K20" s="51"/>
    </row>
    <row r="21" customFormat="false" ht="16.5" hidden="false" customHeight="false" outlineLevel="0" collapsed="false">
      <c r="K21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10" activeCellId="0" sqref="B10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7.3"/>
  </cols>
  <sheetData>
    <row r="1" customFormat="false" ht="16.5" hidden="false" customHeight="false" outlineLevel="0" collapsed="false">
      <c r="A1" s="52" t="s">
        <v>201</v>
      </c>
      <c r="B1" s="52" t="s">
        <v>1</v>
      </c>
      <c r="C1" s="52" t="s">
        <v>202</v>
      </c>
      <c r="D1" s="17"/>
      <c r="E1" s="17"/>
    </row>
    <row r="2" customFormat="false" ht="16.5" hidden="false" customHeight="false" outlineLevel="0" collapsed="false">
      <c r="A2" s="19" t="s">
        <v>203</v>
      </c>
      <c r="B2" s="35" t="s">
        <v>204</v>
      </c>
      <c r="C2" s="19" t="n">
        <v>3</v>
      </c>
      <c r="E2" s="17"/>
    </row>
    <row r="3" customFormat="false" ht="16.5" hidden="false" customHeight="false" outlineLevel="0" collapsed="false">
      <c r="A3" s="19" t="s">
        <v>205</v>
      </c>
      <c r="B3" s="36" t="s">
        <v>206</v>
      </c>
      <c r="C3" s="19" t="n">
        <v>6</v>
      </c>
      <c r="E3" s="17"/>
    </row>
    <row r="4" customFormat="false" ht="16.5" hidden="false" customHeight="false" outlineLevel="0" collapsed="false">
      <c r="A4" s="19" t="s">
        <v>207</v>
      </c>
      <c r="B4" s="37" t="s">
        <v>208</v>
      </c>
      <c r="C4" s="19" t="n">
        <v>10</v>
      </c>
      <c r="E4" s="17"/>
    </row>
    <row r="5" customFormat="false" ht="16.5" hidden="false" customHeight="false" outlineLevel="0" collapsed="false">
      <c r="E5" s="17"/>
    </row>
    <row r="6" customFormat="false" ht="16.5" hidden="false" customHeight="false" outlineLevel="0" collapsed="false">
      <c r="E6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C12" activeCellId="0" sqref="C12"/>
    </sheetView>
  </sheetViews>
  <sheetFormatPr defaultColWidth="11.53515625" defaultRowHeight="16.5" customHeight="false" zeroHeight="false" outlineLevelRow="0" outlineLevelCol="0"/>
  <sheetData>
    <row r="1" customFormat="false" ht="13.65" hidden="false" customHeight="false" outlineLevel="0" collapsed="false">
      <c r="A1" s="1" t="s">
        <v>209</v>
      </c>
    </row>
    <row r="2" customFormat="false" ht="13.65" hidden="false" customHeight="false" outlineLevel="0" collapsed="false">
      <c r="A2" s="1" t="s">
        <v>210</v>
      </c>
    </row>
    <row r="3" customFormat="false" ht="16.5" hidden="false" customHeight="false" outlineLevel="0" collapsed="false">
      <c r="A3" s="1" t="s">
        <v>211</v>
      </c>
    </row>
    <row r="4" customFormat="false" ht="16.5" hidden="false" customHeight="false" outlineLevel="0" collapsed="false">
      <c r="A4" s="1" t="s">
        <v>212</v>
      </c>
    </row>
    <row r="5" customFormat="false" ht="16.5" hidden="false" customHeight="false" outlineLevel="0" collapsed="false">
      <c r="A5" s="1" t="s">
        <v>213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1468</TotalTime>
  <Application>LibreOffice/26.8.0.3$Windows_X86_64 LibreOffice_project/bce0998afefdbc355585ca324285661a2170ba77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2026-09-26T12:04:08Z</dcterms:created>
  <dc:creator/>
  <dc:description/>
  <dc:language>ja-JP</dc:language>
  <cp:lastModifiedBy/>
  <dcterms:modified xsi:type="dcterms:W3CDTF">2026-10-04T00:00:08Z</dcterms:modified>
  <cp:revision>76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